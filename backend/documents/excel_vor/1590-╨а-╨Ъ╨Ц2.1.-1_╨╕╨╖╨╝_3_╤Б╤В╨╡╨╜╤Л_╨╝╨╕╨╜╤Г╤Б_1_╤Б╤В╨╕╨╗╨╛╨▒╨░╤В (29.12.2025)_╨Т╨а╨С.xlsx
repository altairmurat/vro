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Востриков Данил\2025\Москва, БЦ Северный речной порт\Стилобат\Стены\-1 этаж\"/>
    </mc:Choice>
  </mc:AlternateContent>
  <xr:revisionPtr revIDLastSave="0" documentId="8_{FCEDE690-13F5-4A74-ABB1-7EE909AA49BE}" xr6:coauthVersionLast="47" xr6:coauthVersionMax="47" xr10:uidLastSave="{00000000-0000-0000-0000-000000000000}"/>
  <bookViews>
    <workbookView xWindow="-120" yWindow="-120" windowWidth="29040" windowHeight="15840" xr2:uid="{2A4AC16E-A95F-4E0F-BA02-7973FFE6DEF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6" i="1" l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B24" i="1"/>
  <c r="E23" i="1"/>
  <c r="B23" i="1"/>
  <c r="E22" i="1"/>
  <c r="B22" i="1"/>
  <c r="E21" i="1"/>
  <c r="B21" i="1"/>
  <c r="E20" i="1"/>
  <c r="B20" i="1"/>
  <c r="E19" i="1"/>
  <c r="B19" i="1"/>
  <c r="E18" i="1"/>
  <c r="B18" i="1"/>
  <c r="E17" i="1"/>
  <c r="B17" i="1"/>
  <c r="E16" i="1"/>
  <c r="B16" i="1"/>
  <c r="E15" i="1"/>
  <c r="B15" i="1"/>
  <c r="E14" i="1"/>
  <c r="B14" i="1"/>
  <c r="E13" i="1"/>
  <c r="B13" i="1"/>
  <c r="E12" i="1"/>
  <c r="B12" i="1"/>
  <c r="E11" i="1"/>
  <c r="B11" i="1"/>
  <c r="E10" i="1"/>
  <c r="B10" i="1"/>
  <c r="E9" i="1"/>
  <c r="B9" i="1"/>
  <c r="E8" i="1"/>
  <c r="B8" i="1"/>
  <c r="E7" i="1"/>
  <c r="B7" i="1"/>
</calcChain>
</file>

<file path=xl/sharedStrings.xml><?xml version="1.0" encoding="utf-8"?>
<sst xmlns="http://schemas.openxmlformats.org/spreadsheetml/2006/main" count="54" uniqueCount="54">
  <si>
    <t>Ведомость расхода бетона, м3</t>
  </si>
  <si>
    <t>Марка элемента</t>
  </si>
  <si>
    <t>Материалы</t>
  </si>
  <si>
    <t>Класс бетона</t>
  </si>
  <si>
    <t>Всего</t>
  </si>
  <si>
    <t>B30</t>
  </si>
  <si>
    <t>В30</t>
  </si>
  <si>
    <t>B10</t>
  </si>
  <si>
    <t>ГОСТ 26633-2015</t>
  </si>
  <si>
    <t>Кол-во</t>
  </si>
  <si>
    <t>F200 W6</t>
  </si>
  <si>
    <t>F200, W8</t>
  </si>
  <si>
    <t>-</t>
  </si>
  <si>
    <t>Стена (разрез 1-1) на отм. -5,750</t>
  </si>
  <si>
    <t>Стена (разрез 2-2) на отм. -5,750</t>
  </si>
  <si>
    <t>Стена (разрез 3-3) на отм. -5,750</t>
  </si>
  <si>
    <t>Стена (разрез 4-4) на отм. -5,750</t>
  </si>
  <si>
    <t>Стена (разрез 5-5) на отм. -5,750</t>
  </si>
  <si>
    <t>Стена (разрез 6-6) на отм. -5,750</t>
  </si>
  <si>
    <t>Стена (разрез 7-7) на отм. -5,750</t>
  </si>
  <si>
    <t>Стена (разрез 8-8) на отм. -3,050</t>
  </si>
  <si>
    <t>Стена (разрез 9-9) на отм. -3,050</t>
  </si>
  <si>
    <t>Стена (разрез 10-10) на отм. -3,050</t>
  </si>
  <si>
    <t>Стена (разрез 11-11) на отм. -3,050</t>
  </si>
  <si>
    <t>Стена (разрез 12-12) на отм. -5,750</t>
  </si>
  <si>
    <t>Стена (разрез 13-13) на отм. -3,050</t>
  </si>
  <si>
    <t>Стена (разрез 14-14) на отм. -5,750</t>
  </si>
  <si>
    <t>Стена (разрез 15-15) на отм. -2,050</t>
  </si>
  <si>
    <t>Стена (разрез 16-16) на отм. -2,050</t>
  </si>
  <si>
    <t>Стена (разрез 17-17) на отм. -1,550</t>
  </si>
  <si>
    <t>Стена (разрез 18-18) на отм. -1,750</t>
  </si>
  <si>
    <t>Колонна монолитная КМ1 на отм. -5.750</t>
  </si>
  <si>
    <t>Колонна монолитная КМ2 на отм. -5.750</t>
  </si>
  <si>
    <t>Колонна монолитная КМ3 на отм. -5.750</t>
  </si>
  <si>
    <t>Колонна монолитная КМ4 на отм. -5.750</t>
  </si>
  <si>
    <t>Колонна монолитная КМ5 на отм. -5.750</t>
  </si>
  <si>
    <t>Колонна монолитная КМ5.1 на отм. -5.750</t>
  </si>
  <si>
    <t>Колонна монолитная КМ5.2 на отм. -5.750</t>
  </si>
  <si>
    <t>Колонна монолитная КМ5.3 на отм. -5.750</t>
  </si>
  <si>
    <t>Колонна монолитная КМ5.4 на отм. -5.750</t>
  </si>
  <si>
    <t>Колонна монолитная КМ5.5 на отм. -5.750</t>
  </si>
  <si>
    <t>Колонна монолитная КМ5.6 на отм. -5.750</t>
  </si>
  <si>
    <t>Колонна монолитная КМ6 на отм. -5.750</t>
  </si>
  <si>
    <t>Колонна монолитная КМ7 на отм. -5.750</t>
  </si>
  <si>
    <t>Колонна монолитная КМ7.1 на отм. -5.750</t>
  </si>
  <si>
    <t>Колонна монолитная КМ7.2 на отм. -5.750</t>
  </si>
  <si>
    <t>Колонна монолитная КМ7.3 на отм. -5.750</t>
  </si>
  <si>
    <t>Колонна монолитная КМ7.4 на отм. -5.750</t>
  </si>
  <si>
    <t>Колонна монолитная КМ7.5 на отм. -5.750</t>
  </si>
  <si>
    <t>Колонна монолитная КМ8 на отм. -5.750</t>
  </si>
  <si>
    <t>Колонна монолитная КМ8.1 на отм. -5.750</t>
  </si>
  <si>
    <t>Колонна монолитная КМ9 на отм. -5.750</t>
  </si>
  <si>
    <t>Бетонное заполнение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</si>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</sst>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4.15"/>
      <name val="CS Standard"/>
      <family val="2"/>
      <charset val="204"/>
    </font>
    <font>
      <sz val="11"/>
      <name val="Calibri"/>
      <family val="2"/>
      <charset val="204"/>
      <scheme val="minor"/>
    </font>
    <font>
      <sz val="7.1"/>
      <name val="CS Standard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0" xfId="0" applyFont="1"/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/>
    <xf numFmtId="0" fontId="2" fillId="0" borderId="4" xfId="0" applyFont="1" applyBorder="1"/>
    <xf numFmtId="0" fontId="2" fillId="0" borderId="8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top"/>
    </xf>
    <xf numFmtId="0" fontId="3" fillId="0" borderId="4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top" wrapText="1"/>
    </xf>
    <xf numFmtId="0" fontId="3" fillId="0" borderId="5" xfId="0" applyNumberFormat="1" applyFont="1" applyFill="1" applyBorder="1" applyAlignment="1">
      <alignment horizontal="center" vertical="top" wrapText="1"/>
    </xf>
    <xf numFmtId="0" fontId="3" fillId="0" borderId="4" xfId="0" applyNumberFormat="1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left" vertical="top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top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top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top"/>
    </xf>
    <xf numFmtId="0" fontId="3" fillId="0" borderId="6" xfId="0" applyNumberFormat="1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6B7A-54DF-4A87-A2D7-47AC44B2F6BC}">
  <dimension ref="A1:F47"/>
  <sheetViews>
    <sheetView tabSelected="1" workbookViewId="0">
      <selection activeCell="F11" sqref="F11"/>
    </sheetView>
  </sheetViews>
  <sheetFormatPr defaultRowHeight="15" x14ac:dyDescent="0.25"/>
  <cols>
    <col min="1" max="1" width="27.42578125" style="3" customWidth="1"/>
    <col min="2" max="2" width="7.42578125" style="3" customWidth="1"/>
    <col min="3" max="5" width="12" style="3" customWidth="1"/>
    <col min="6" max="6" width="7.42578125" style="3" customWidth="1"/>
    <col min="7" max="16384" width="9.140625" style="3"/>
  </cols>
  <sheetData>
    <row r="1" spans="1:6" ht="22.7" customHeight="1" thickBot="1" x14ac:dyDescent="0.3">
      <c r="A1" s="1" t="s">
        <v>0</v>
      </c>
      <c r="B1" s="2"/>
      <c r="C1" s="2"/>
      <c r="D1" s="2"/>
      <c r="E1" s="2"/>
      <c r="F1" s="2"/>
    </row>
    <row r="2" spans="1:6" ht="22.7" customHeight="1" thickBot="1" x14ac:dyDescent="0.3">
      <c r="A2" s="4" t="s">
        <v>1</v>
      </c>
      <c r="B2" s="5"/>
      <c r="C2" s="6" t="s">
        <v>2</v>
      </c>
      <c r="D2" s="7"/>
      <c r="E2" s="8"/>
      <c r="F2" s="9"/>
    </row>
    <row r="3" spans="1:6" ht="22.7" customHeight="1" thickBot="1" x14ac:dyDescent="0.3">
      <c r="A3" s="10"/>
      <c r="B3" s="11"/>
      <c r="C3" s="12" t="s">
        <v>3</v>
      </c>
      <c r="D3" s="13"/>
      <c r="E3" s="8"/>
      <c r="F3" s="14" t="s">
        <v>4</v>
      </c>
    </row>
    <row r="4" spans="1:6" ht="22.7" customHeight="1" thickBot="1" x14ac:dyDescent="0.3">
      <c r="A4" s="10"/>
      <c r="B4" s="11"/>
      <c r="C4" s="15" t="s">
        <v>5</v>
      </c>
      <c r="D4" s="15" t="s">
        <v>6</v>
      </c>
      <c r="E4" s="16" t="s">
        <v>7</v>
      </c>
      <c r="F4" s="17"/>
    </row>
    <row r="5" spans="1:6" ht="22.7" customHeight="1" thickBot="1" x14ac:dyDescent="0.3">
      <c r="A5" s="10"/>
      <c r="B5" s="11"/>
      <c r="C5" s="12" t="s">
        <v>8</v>
      </c>
      <c r="D5" s="13"/>
      <c r="E5" s="18"/>
      <c r="F5" s="17"/>
    </row>
    <row r="6" spans="1:6" ht="22.7" customHeight="1" thickBot="1" x14ac:dyDescent="0.3">
      <c r="A6" s="10"/>
      <c r="B6" s="5" t="s">
        <v>9</v>
      </c>
      <c r="C6" s="5" t="s">
        <v>10</v>
      </c>
      <c r="D6" s="5" t="s">
        <v>11</v>
      </c>
      <c r="E6" s="19" t="s">
        <v>12</v>
      </c>
      <c r="F6" s="17"/>
    </row>
    <row r="7" spans="1:6" ht="22.7" customHeight="1" thickBot="1" x14ac:dyDescent="0.3">
      <c r="A7" s="20" t="s">
        <v>13</v>
      </c>
      <c r="B7" s="21">
        <f>1</f>
        <v>1</v>
      </c>
      <c r="C7" s="22">
        <v>0</v>
      </c>
      <c r="D7" s="22">
        <v>60.753</v>
      </c>
      <c r="E7" s="22">
        <f>0</f>
        <v>0</v>
      </c>
      <c r="F7" s="23">
        <v>60.753</v>
      </c>
    </row>
    <row r="8" spans="1:6" ht="22.7" customHeight="1" thickBot="1" x14ac:dyDescent="0.3">
      <c r="A8" s="20" t="s">
        <v>14</v>
      </c>
      <c r="B8" s="21">
        <f>1</f>
        <v>1</v>
      </c>
      <c r="C8" s="22">
        <v>0</v>
      </c>
      <c r="D8" s="22">
        <v>27.699000000000002</v>
      </c>
      <c r="E8" s="22">
        <f>0</f>
        <v>0</v>
      </c>
      <c r="F8" s="23">
        <v>27.699000000000002</v>
      </c>
    </row>
    <row r="9" spans="1:6" ht="22.7" customHeight="1" thickBot="1" x14ac:dyDescent="0.3">
      <c r="A9" s="20" t="s">
        <v>15</v>
      </c>
      <c r="B9" s="21">
        <f>1</f>
        <v>1</v>
      </c>
      <c r="C9" s="22">
        <v>0</v>
      </c>
      <c r="D9" s="22">
        <v>93.596999999999994</v>
      </c>
      <c r="E9" s="22">
        <f>0</f>
        <v>0</v>
      </c>
      <c r="F9" s="23">
        <v>93.596999999999994</v>
      </c>
    </row>
    <row r="10" spans="1:6" ht="22.7" customHeight="1" thickBot="1" x14ac:dyDescent="0.3">
      <c r="A10" s="20" t="s">
        <v>16</v>
      </c>
      <c r="B10" s="21">
        <f>1</f>
        <v>1</v>
      </c>
      <c r="C10" s="22">
        <v>0</v>
      </c>
      <c r="D10" s="22">
        <v>10.901999999999999</v>
      </c>
      <c r="E10" s="22">
        <f>0</f>
        <v>0</v>
      </c>
      <c r="F10" s="23">
        <v>10.901999999999999</v>
      </c>
    </row>
    <row r="11" spans="1:6" ht="22.7" customHeight="1" thickBot="1" x14ac:dyDescent="0.3">
      <c r="A11" s="20" t="s">
        <v>17</v>
      </c>
      <c r="B11" s="21">
        <f>1</f>
        <v>1</v>
      </c>
      <c r="C11" s="22">
        <v>0</v>
      </c>
      <c r="D11" s="22">
        <v>18.456</v>
      </c>
      <c r="E11" s="22">
        <f>0</f>
        <v>0</v>
      </c>
      <c r="F11" s="23">
        <v>18.456</v>
      </c>
    </row>
    <row r="12" spans="1:6" ht="22.7" customHeight="1" thickBot="1" x14ac:dyDescent="0.3">
      <c r="A12" s="20" t="s">
        <v>18</v>
      </c>
      <c r="B12" s="21">
        <f>1</f>
        <v>1</v>
      </c>
      <c r="C12" s="22">
        <v>11.084</v>
      </c>
      <c r="D12" s="22">
        <v>0</v>
      </c>
      <c r="E12" s="22">
        <f>0</f>
        <v>0</v>
      </c>
      <c r="F12" s="23">
        <v>11.084</v>
      </c>
    </row>
    <row r="13" spans="1:6" ht="22.7" customHeight="1" thickBot="1" x14ac:dyDescent="0.3">
      <c r="A13" s="20" t="s">
        <v>19</v>
      </c>
      <c r="B13" s="21">
        <f>1</f>
        <v>1</v>
      </c>
      <c r="C13" s="22">
        <v>11.1</v>
      </c>
      <c r="D13" s="22">
        <v>0</v>
      </c>
      <c r="E13" s="22">
        <f>0</f>
        <v>0</v>
      </c>
      <c r="F13" s="23">
        <v>11.1</v>
      </c>
    </row>
    <row r="14" spans="1:6" ht="22.7" customHeight="1" thickBot="1" x14ac:dyDescent="0.3">
      <c r="A14" s="20" t="s">
        <v>20</v>
      </c>
      <c r="B14" s="21">
        <f>1</f>
        <v>1</v>
      </c>
      <c r="C14" s="22">
        <v>5.5039999999999996</v>
      </c>
      <c r="D14" s="22">
        <v>0</v>
      </c>
      <c r="E14" s="22">
        <f>0</f>
        <v>0</v>
      </c>
      <c r="F14" s="23">
        <v>5.5039999999999996</v>
      </c>
    </row>
    <row r="15" spans="1:6" ht="22.7" customHeight="1" thickBot="1" x14ac:dyDescent="0.3">
      <c r="A15" s="20" t="s">
        <v>21</v>
      </c>
      <c r="B15" s="21">
        <f>1</f>
        <v>1</v>
      </c>
      <c r="C15" s="22">
        <v>7.6</v>
      </c>
      <c r="D15" s="22">
        <v>0</v>
      </c>
      <c r="E15" s="22">
        <f>0</f>
        <v>0</v>
      </c>
      <c r="F15" s="23">
        <v>7.6</v>
      </c>
    </row>
    <row r="16" spans="1:6" ht="22.7" customHeight="1" thickBot="1" x14ac:dyDescent="0.3">
      <c r="A16" s="20" t="s">
        <v>22</v>
      </c>
      <c r="B16" s="21">
        <f>1</f>
        <v>1</v>
      </c>
      <c r="C16" s="22">
        <v>0.73799999999999999</v>
      </c>
      <c r="D16" s="22">
        <v>0</v>
      </c>
      <c r="E16" s="22">
        <f>0</f>
        <v>0</v>
      </c>
      <c r="F16" s="23">
        <v>0.73799999999999999</v>
      </c>
    </row>
    <row r="17" spans="1:6" ht="22.7" customHeight="1" thickBot="1" x14ac:dyDescent="0.3">
      <c r="A17" s="20" t="s">
        <v>23</v>
      </c>
      <c r="B17" s="21">
        <f>1</f>
        <v>1</v>
      </c>
      <c r="C17" s="22">
        <v>0.92200000000000004</v>
      </c>
      <c r="D17" s="22">
        <v>0</v>
      </c>
      <c r="E17" s="22">
        <f>0</f>
        <v>0</v>
      </c>
      <c r="F17" s="23">
        <v>0.92200000000000004</v>
      </c>
    </row>
    <row r="18" spans="1:6" ht="22.7" customHeight="1" thickBot="1" x14ac:dyDescent="0.3">
      <c r="A18" s="20" t="s">
        <v>24</v>
      </c>
      <c r="B18" s="21">
        <f>1</f>
        <v>1</v>
      </c>
      <c r="C18" s="22">
        <v>12.346</v>
      </c>
      <c r="D18" s="22">
        <v>0</v>
      </c>
      <c r="E18" s="22">
        <f>0</f>
        <v>0</v>
      </c>
      <c r="F18" s="23">
        <v>12.346</v>
      </c>
    </row>
    <row r="19" spans="1:6" ht="22.7" customHeight="1" thickBot="1" x14ac:dyDescent="0.3">
      <c r="A19" s="20" t="s">
        <v>25</v>
      </c>
      <c r="B19" s="21">
        <f>1</f>
        <v>1</v>
      </c>
      <c r="C19" s="22">
        <v>0.73799999999999999</v>
      </c>
      <c r="D19" s="22">
        <v>0</v>
      </c>
      <c r="E19" s="22">
        <f>0</f>
        <v>0</v>
      </c>
      <c r="F19" s="23">
        <v>0.73799999999999999</v>
      </c>
    </row>
    <row r="20" spans="1:6" ht="22.7" customHeight="1" thickBot="1" x14ac:dyDescent="0.3">
      <c r="A20" s="20" t="s">
        <v>26</v>
      </c>
      <c r="B20" s="21">
        <f>1</f>
        <v>1</v>
      </c>
      <c r="C20" s="22">
        <v>64.013999999999996</v>
      </c>
      <c r="D20" s="22">
        <v>0</v>
      </c>
      <c r="E20" s="22">
        <f>0</f>
        <v>0</v>
      </c>
      <c r="F20" s="23">
        <v>64.013999999999996</v>
      </c>
    </row>
    <row r="21" spans="1:6" ht="22.7" customHeight="1" thickBot="1" x14ac:dyDescent="0.3">
      <c r="A21" s="20" t="s">
        <v>27</v>
      </c>
      <c r="B21" s="21">
        <f>1</f>
        <v>1</v>
      </c>
      <c r="C21" s="22">
        <v>0</v>
      </c>
      <c r="D21" s="22">
        <v>4.7839999999999998</v>
      </c>
      <c r="E21" s="22">
        <f>0</f>
        <v>0</v>
      </c>
      <c r="F21" s="23">
        <v>4.7839999999999998</v>
      </c>
    </row>
    <row r="22" spans="1:6" ht="22.7" customHeight="1" thickBot="1" x14ac:dyDescent="0.3">
      <c r="A22" s="20" t="s">
        <v>28</v>
      </c>
      <c r="B22" s="21">
        <f>1</f>
        <v>1</v>
      </c>
      <c r="C22" s="22">
        <v>0</v>
      </c>
      <c r="D22" s="22">
        <v>4.6760000000000002</v>
      </c>
      <c r="E22" s="22">
        <f>0</f>
        <v>0</v>
      </c>
      <c r="F22" s="23">
        <v>4.6760000000000002</v>
      </c>
    </row>
    <row r="23" spans="1:6" ht="22.7" customHeight="1" thickBot="1" x14ac:dyDescent="0.3">
      <c r="A23" s="20" t="s">
        <v>29</v>
      </c>
      <c r="B23" s="21">
        <f>1</f>
        <v>1</v>
      </c>
      <c r="C23" s="22">
        <v>0</v>
      </c>
      <c r="D23" s="22">
        <v>4.3719999999999999</v>
      </c>
      <c r="E23" s="22">
        <f>0</f>
        <v>0</v>
      </c>
      <c r="F23" s="23">
        <v>4.3719999999999999</v>
      </c>
    </row>
    <row r="24" spans="1:6" ht="22.7" customHeight="1" thickBot="1" x14ac:dyDescent="0.3">
      <c r="A24" s="20" t="s">
        <v>30</v>
      </c>
      <c r="B24" s="21">
        <f>1</f>
        <v>1</v>
      </c>
      <c r="C24" s="22">
        <v>0</v>
      </c>
      <c r="D24" s="22">
        <v>22.053599999999999</v>
      </c>
      <c r="E24" s="22">
        <f>0</f>
        <v>0</v>
      </c>
      <c r="F24" s="23">
        <v>22.053599999999999</v>
      </c>
    </row>
    <row r="25" spans="1:6" ht="22.7" customHeight="1" thickBot="1" x14ac:dyDescent="0.3">
      <c r="A25" s="20" t="s">
        <v>31</v>
      </c>
      <c r="B25" s="21">
        <v>1</v>
      </c>
      <c r="C25" s="22">
        <v>1.58</v>
      </c>
      <c r="D25" s="22">
        <v>0</v>
      </c>
      <c r="E25" s="22">
        <f>0</f>
        <v>0</v>
      </c>
      <c r="F25" s="23">
        <v>1.58</v>
      </c>
    </row>
    <row r="26" spans="1:6" ht="22.7" customHeight="1" thickBot="1" x14ac:dyDescent="0.3">
      <c r="A26" s="20" t="s">
        <v>32</v>
      </c>
      <c r="B26" s="21">
        <v>2</v>
      </c>
      <c r="C26" s="22">
        <v>3.88</v>
      </c>
      <c r="D26" s="22">
        <v>0</v>
      </c>
      <c r="E26" s="22">
        <f>0</f>
        <v>0</v>
      </c>
      <c r="F26" s="23">
        <v>3.88</v>
      </c>
    </row>
    <row r="27" spans="1:6" ht="22.7" customHeight="1" thickBot="1" x14ac:dyDescent="0.3">
      <c r="A27" s="20" t="s">
        <v>33</v>
      </c>
      <c r="B27" s="21">
        <v>2</v>
      </c>
      <c r="C27" s="22">
        <v>4.04</v>
      </c>
      <c r="D27" s="22">
        <v>0</v>
      </c>
      <c r="E27" s="22">
        <f>0</f>
        <v>0</v>
      </c>
      <c r="F27" s="23">
        <v>4.04</v>
      </c>
    </row>
    <row r="28" spans="1:6" ht="22.7" customHeight="1" thickBot="1" x14ac:dyDescent="0.3">
      <c r="A28" s="20" t="s">
        <v>34</v>
      </c>
      <c r="B28" s="21">
        <v>3</v>
      </c>
      <c r="C28" s="22">
        <v>6.0600000000000005</v>
      </c>
      <c r="D28" s="22">
        <v>0</v>
      </c>
      <c r="E28" s="22">
        <f>0</f>
        <v>0</v>
      </c>
      <c r="F28" s="23">
        <v>6.0600000000000005</v>
      </c>
    </row>
    <row r="29" spans="1:6" ht="22.7" customHeight="1" thickBot="1" x14ac:dyDescent="0.3">
      <c r="A29" s="20" t="s">
        <v>35</v>
      </c>
      <c r="B29" s="21">
        <v>1</v>
      </c>
      <c r="C29" s="22">
        <v>2.02</v>
      </c>
      <c r="D29" s="22">
        <v>0</v>
      </c>
      <c r="E29" s="22">
        <f>0</f>
        <v>0</v>
      </c>
      <c r="F29" s="23">
        <v>2.02</v>
      </c>
    </row>
    <row r="30" spans="1:6" ht="22.7" customHeight="1" thickBot="1" x14ac:dyDescent="0.3">
      <c r="A30" s="20" t="s">
        <v>36</v>
      </c>
      <c r="B30" s="21">
        <v>1</v>
      </c>
      <c r="C30" s="22">
        <v>2.02</v>
      </c>
      <c r="D30" s="22">
        <v>0</v>
      </c>
      <c r="E30" s="22">
        <f>0</f>
        <v>0</v>
      </c>
      <c r="F30" s="23">
        <v>2.02</v>
      </c>
    </row>
    <row r="31" spans="1:6" ht="22.7" customHeight="1" thickBot="1" x14ac:dyDescent="0.3">
      <c r="A31" s="20" t="s">
        <v>37</v>
      </c>
      <c r="B31" s="21">
        <v>1</v>
      </c>
      <c r="C31" s="22">
        <v>2.2200000000000002</v>
      </c>
      <c r="D31" s="22">
        <v>0</v>
      </c>
      <c r="E31" s="22">
        <f>0</f>
        <v>0</v>
      </c>
      <c r="F31" s="23">
        <v>2.2200000000000002</v>
      </c>
    </row>
    <row r="32" spans="1:6" ht="22.7" customHeight="1" thickBot="1" x14ac:dyDescent="0.3">
      <c r="A32" s="20" t="s">
        <v>38</v>
      </c>
      <c r="B32" s="21">
        <v>1</v>
      </c>
      <c r="C32" s="22">
        <v>1.48</v>
      </c>
      <c r="D32" s="22">
        <v>0</v>
      </c>
      <c r="E32" s="22">
        <f>0</f>
        <v>0</v>
      </c>
      <c r="F32" s="23">
        <v>1.48</v>
      </c>
    </row>
    <row r="33" spans="1:6" ht="22.7" customHeight="1" thickBot="1" x14ac:dyDescent="0.3">
      <c r="A33" s="20" t="s">
        <v>39</v>
      </c>
      <c r="B33" s="21">
        <v>1</v>
      </c>
      <c r="C33" s="22">
        <v>1.48</v>
      </c>
      <c r="D33" s="22">
        <v>0</v>
      </c>
      <c r="E33" s="22">
        <f>0</f>
        <v>0</v>
      </c>
      <c r="F33" s="23">
        <v>1.48</v>
      </c>
    </row>
    <row r="34" spans="1:6" ht="22.7" customHeight="1" thickBot="1" x14ac:dyDescent="0.3">
      <c r="A34" s="20" t="s">
        <v>40</v>
      </c>
      <c r="B34" s="21">
        <v>1</v>
      </c>
      <c r="C34" s="22">
        <v>2.004</v>
      </c>
      <c r="D34" s="22">
        <v>0</v>
      </c>
      <c r="E34" s="22">
        <f>0</f>
        <v>0</v>
      </c>
      <c r="F34" s="23">
        <v>2.004</v>
      </c>
    </row>
    <row r="35" spans="1:6" ht="22.7" customHeight="1" thickBot="1" x14ac:dyDescent="0.3">
      <c r="A35" s="20" t="s">
        <v>41</v>
      </c>
      <c r="B35" s="21">
        <v>1</v>
      </c>
      <c r="C35" s="22">
        <v>1.48</v>
      </c>
      <c r="D35" s="22">
        <v>0</v>
      </c>
      <c r="E35" s="22">
        <f>0</f>
        <v>0</v>
      </c>
      <c r="F35" s="23">
        <v>1.48</v>
      </c>
    </row>
    <row r="36" spans="1:6" ht="22.7" customHeight="1" thickBot="1" x14ac:dyDescent="0.3">
      <c r="A36" s="20" t="s">
        <v>42</v>
      </c>
      <c r="B36" s="21">
        <v>1</v>
      </c>
      <c r="C36" s="22">
        <v>1.46</v>
      </c>
      <c r="D36" s="22">
        <v>0</v>
      </c>
      <c r="E36" s="22">
        <f>0</f>
        <v>0</v>
      </c>
      <c r="F36" s="23">
        <v>1.46</v>
      </c>
    </row>
    <row r="37" spans="1:6" ht="22.7" customHeight="1" thickBot="1" x14ac:dyDescent="0.3">
      <c r="A37" s="20" t="s">
        <v>43</v>
      </c>
      <c r="B37" s="21">
        <v>1</v>
      </c>
      <c r="C37" s="22">
        <v>2.02</v>
      </c>
      <c r="D37" s="22">
        <v>0</v>
      </c>
      <c r="E37" s="22">
        <f>0</f>
        <v>0</v>
      </c>
      <c r="F37" s="23">
        <v>2.02</v>
      </c>
    </row>
    <row r="38" spans="1:6" ht="22.7" customHeight="1" thickBot="1" x14ac:dyDescent="0.3">
      <c r="A38" s="20" t="s">
        <v>44</v>
      </c>
      <c r="B38" s="21">
        <v>5</v>
      </c>
      <c r="C38" s="22">
        <v>10.1</v>
      </c>
      <c r="D38" s="22">
        <v>0</v>
      </c>
      <c r="E38" s="22">
        <f>0</f>
        <v>0</v>
      </c>
      <c r="F38" s="23">
        <v>10.1</v>
      </c>
    </row>
    <row r="39" spans="1:6" ht="22.7" customHeight="1" thickBot="1" x14ac:dyDescent="0.3">
      <c r="A39" s="20" t="s">
        <v>45</v>
      </c>
      <c r="B39" s="21">
        <v>2</v>
      </c>
      <c r="C39" s="22">
        <v>4.008</v>
      </c>
      <c r="D39" s="22">
        <v>0</v>
      </c>
      <c r="E39" s="22">
        <f>0</f>
        <v>0</v>
      </c>
      <c r="F39" s="23">
        <v>4.008</v>
      </c>
    </row>
    <row r="40" spans="1:6" ht="22.7" customHeight="1" thickBot="1" x14ac:dyDescent="0.3">
      <c r="A40" s="20" t="s">
        <v>46</v>
      </c>
      <c r="B40" s="21">
        <v>2</v>
      </c>
      <c r="C40" s="22">
        <v>4.2480000000000002</v>
      </c>
      <c r="D40" s="22">
        <v>0</v>
      </c>
      <c r="E40" s="22">
        <f>0</f>
        <v>0</v>
      </c>
      <c r="F40" s="23">
        <v>4.2480000000000002</v>
      </c>
    </row>
    <row r="41" spans="1:6" ht="22.7" customHeight="1" thickBot="1" x14ac:dyDescent="0.3">
      <c r="A41" s="20" t="s">
        <v>47</v>
      </c>
      <c r="B41" s="21">
        <v>6</v>
      </c>
      <c r="C41" s="22">
        <v>12.120000000000001</v>
      </c>
      <c r="D41" s="22">
        <v>0</v>
      </c>
      <c r="E41" s="22">
        <f>0</f>
        <v>0</v>
      </c>
      <c r="F41" s="23">
        <v>12.120000000000001</v>
      </c>
    </row>
    <row r="42" spans="1:6" ht="22.7" customHeight="1" thickBot="1" x14ac:dyDescent="0.3">
      <c r="A42" s="20" t="s">
        <v>48</v>
      </c>
      <c r="B42" s="21">
        <v>1</v>
      </c>
      <c r="C42" s="22">
        <v>1.58</v>
      </c>
      <c r="D42" s="22">
        <v>0</v>
      </c>
      <c r="E42" s="22">
        <f>0</f>
        <v>0</v>
      </c>
      <c r="F42" s="23">
        <v>1.58</v>
      </c>
    </row>
    <row r="43" spans="1:6" ht="22.7" customHeight="1" thickBot="1" x14ac:dyDescent="0.3">
      <c r="A43" s="20" t="s">
        <v>49</v>
      </c>
      <c r="B43" s="21">
        <v>1</v>
      </c>
      <c r="C43" s="22">
        <v>2.528</v>
      </c>
      <c r="D43" s="22">
        <v>0</v>
      </c>
      <c r="E43" s="22">
        <f>0</f>
        <v>0</v>
      </c>
      <c r="F43" s="23">
        <v>2.528</v>
      </c>
    </row>
    <row r="44" spans="1:6" ht="22.7" customHeight="1" thickBot="1" x14ac:dyDescent="0.3">
      <c r="A44" s="20" t="s">
        <v>50</v>
      </c>
      <c r="B44" s="21">
        <v>1</v>
      </c>
      <c r="C44" s="22">
        <v>2.3679999999999999</v>
      </c>
      <c r="D44" s="22">
        <v>0</v>
      </c>
      <c r="E44" s="22">
        <f>0</f>
        <v>0</v>
      </c>
      <c r="F44" s="23">
        <v>2.3679999999999999</v>
      </c>
    </row>
    <row r="45" spans="1:6" ht="22.7" customHeight="1" thickBot="1" x14ac:dyDescent="0.3">
      <c r="A45" s="20" t="s">
        <v>51</v>
      </c>
      <c r="B45" s="21">
        <v>1</v>
      </c>
      <c r="C45" s="22">
        <v>2.528</v>
      </c>
      <c r="D45" s="22">
        <v>0</v>
      </c>
      <c r="E45" s="22">
        <f>0</f>
        <v>0</v>
      </c>
      <c r="F45" s="23">
        <v>2.528</v>
      </c>
    </row>
    <row r="46" spans="1:6" ht="22.7" customHeight="1" thickBot="1" x14ac:dyDescent="0.3">
      <c r="A46" s="24" t="s">
        <v>52</v>
      </c>
      <c r="B46" s="25">
        <v>0</v>
      </c>
      <c r="C46" s="25">
        <v>0</v>
      </c>
      <c r="D46" s="25">
        <v>0</v>
      </c>
      <c r="E46" s="26">
        <v>154.85</v>
      </c>
      <c r="F46" s="27">
        <f>E46</f>
        <v>154.85</v>
      </c>
    </row>
    <row r="47" spans="1:6" ht="22.7" customHeight="1" thickBot="1" x14ac:dyDescent="0.3">
      <c r="A47" s="28" t="s">
        <v>53</v>
      </c>
      <c r="B47" s="29"/>
      <c r="C47" s="30">
        <v>185.26999999999998</v>
      </c>
      <c r="D47" s="30">
        <v>247.29259999999991</v>
      </c>
      <c r="E47" s="30">
        <v>154.85</v>
      </c>
      <c r="F47" s="31">
        <v>587.41259999999988</v>
      </c>
    </row>
  </sheetData>
  <mergeCells count="6">
    <mergeCell ref="A1:F1"/>
    <mergeCell ref="A2:A6"/>
    <mergeCell ref="C2:D2"/>
    <mergeCell ref="C3:D3"/>
    <mergeCell ref="F3:F6"/>
    <mergeCell ref="C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2026-02-25T08:19:34Z</dcterms:created>
  <dcterms:modified xsi:type="dcterms:W3CDTF">2026-02-25T08:21:02Z</dcterms:modified>
</cp:coreProperties>
</file>