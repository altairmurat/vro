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Востриков Данил\2025\Москва, БЦ Северный речной порт\Стилобат\Стены\-1 этаж\"/>
    </mc:Choice>
  </mc:AlternateContent>
  <xr:revisionPtr revIDLastSave="0" documentId="8_{4224D688-A60A-42EE-BC13-98C41B3C4FA5}" xr6:coauthVersionLast="47" xr6:coauthVersionMax="47" xr10:uidLastSave="{00000000-0000-0000-0000-000000000000}"/>
  <bookViews>
    <workbookView xWindow="-120" yWindow="-120" windowWidth="29040" windowHeight="15840" xr2:uid="{FC7D7467-34DB-4D85-8DB8-20B8D0CDEF3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46" i="1" l="1"/>
  <c r="AF46" i="1" s="1"/>
  <c r="D46" i="1"/>
  <c r="W46" i="1" s="1"/>
  <c r="AE45" i="1"/>
  <c r="AF45" i="1" s="1"/>
  <c r="V45" i="1"/>
  <c r="G45" i="1"/>
  <c r="D45" i="1"/>
  <c r="C45" i="1"/>
  <c r="AE44" i="1"/>
  <c r="AF44" i="1" s="1"/>
  <c r="V44" i="1"/>
  <c r="G44" i="1"/>
  <c r="D44" i="1"/>
  <c r="C44" i="1"/>
  <c r="AE43" i="1"/>
  <c r="AF43" i="1" s="1"/>
  <c r="V43" i="1"/>
  <c r="G43" i="1"/>
  <c r="D43" i="1"/>
  <c r="C43" i="1"/>
  <c r="AE42" i="1"/>
  <c r="AF42" i="1" s="1"/>
  <c r="V42" i="1"/>
  <c r="G42" i="1"/>
  <c r="D42" i="1"/>
  <c r="C42" i="1"/>
  <c r="AE41" i="1"/>
  <c r="AF41" i="1" s="1"/>
  <c r="V41" i="1"/>
  <c r="G41" i="1"/>
  <c r="D41" i="1"/>
  <c r="C41" i="1"/>
  <c r="AE40" i="1"/>
  <c r="AF40" i="1" s="1"/>
  <c r="V40" i="1"/>
  <c r="G40" i="1"/>
  <c r="D40" i="1"/>
  <c r="C40" i="1"/>
  <c r="AE39" i="1"/>
  <c r="AF39" i="1" s="1"/>
  <c r="V39" i="1"/>
  <c r="G39" i="1"/>
  <c r="D39" i="1"/>
  <c r="C39" i="1"/>
  <c r="AE38" i="1"/>
  <c r="AF38" i="1" s="1"/>
  <c r="V38" i="1"/>
  <c r="G38" i="1"/>
  <c r="D38" i="1"/>
  <c r="C38" i="1"/>
  <c r="AE37" i="1"/>
  <c r="AF37" i="1" s="1"/>
  <c r="V37" i="1"/>
  <c r="G37" i="1"/>
  <c r="D37" i="1"/>
  <c r="C37" i="1"/>
  <c r="AE36" i="1"/>
  <c r="AF36" i="1" s="1"/>
  <c r="V36" i="1"/>
  <c r="G36" i="1"/>
  <c r="D36" i="1"/>
  <c r="C36" i="1"/>
  <c r="AE35" i="1"/>
  <c r="AF35" i="1" s="1"/>
  <c r="V35" i="1"/>
  <c r="G35" i="1"/>
  <c r="D35" i="1"/>
  <c r="C35" i="1"/>
  <c r="AE34" i="1"/>
  <c r="AF34" i="1" s="1"/>
  <c r="V34" i="1"/>
  <c r="G34" i="1"/>
  <c r="D34" i="1"/>
  <c r="C34" i="1"/>
  <c r="AE33" i="1"/>
  <c r="AF33" i="1" s="1"/>
  <c r="V33" i="1"/>
  <c r="G33" i="1"/>
  <c r="D33" i="1"/>
  <c r="C33" i="1"/>
  <c r="AE32" i="1"/>
  <c r="AF32" i="1" s="1"/>
  <c r="V32" i="1"/>
  <c r="G32" i="1"/>
  <c r="D32" i="1"/>
  <c r="C32" i="1"/>
  <c r="AE31" i="1"/>
  <c r="AF31" i="1" s="1"/>
  <c r="V31" i="1"/>
  <c r="G31" i="1"/>
  <c r="D31" i="1"/>
  <c r="C31" i="1"/>
  <c r="AE30" i="1"/>
  <c r="AF30" i="1" s="1"/>
  <c r="V30" i="1"/>
  <c r="G30" i="1"/>
  <c r="D30" i="1"/>
  <c r="C30" i="1"/>
  <c r="AE29" i="1"/>
  <c r="AF29" i="1" s="1"/>
  <c r="V29" i="1"/>
  <c r="G29" i="1"/>
  <c r="D29" i="1"/>
  <c r="C29" i="1"/>
  <c r="AE28" i="1"/>
  <c r="AF28" i="1" s="1"/>
  <c r="V28" i="1"/>
  <c r="G28" i="1"/>
  <c r="D28" i="1"/>
  <c r="C28" i="1"/>
  <c r="AE27" i="1"/>
  <c r="AF27" i="1" s="1"/>
  <c r="V27" i="1"/>
  <c r="G27" i="1"/>
  <c r="D27" i="1"/>
  <c r="C27" i="1"/>
  <c r="AE26" i="1"/>
  <c r="AF26" i="1" s="1"/>
  <c r="V26" i="1"/>
  <c r="G26" i="1"/>
  <c r="D26" i="1"/>
  <c r="C26" i="1"/>
  <c r="AE25" i="1"/>
  <c r="AF25" i="1" s="1"/>
  <c r="V25" i="1"/>
  <c r="G25" i="1"/>
  <c r="D25" i="1"/>
  <c r="C25" i="1"/>
  <c r="AE24" i="1"/>
  <c r="AF24" i="1" s="1"/>
  <c r="V24" i="1"/>
  <c r="G24" i="1"/>
  <c r="D24" i="1"/>
  <c r="C24" i="1"/>
  <c r="AE23" i="1"/>
  <c r="AF23" i="1" s="1"/>
  <c r="V23" i="1"/>
  <c r="G23" i="1"/>
  <c r="D23" i="1"/>
  <c r="C23" i="1"/>
  <c r="AE22" i="1"/>
  <c r="AF22" i="1" s="1"/>
  <c r="V22" i="1"/>
  <c r="G22" i="1"/>
  <c r="D22" i="1"/>
  <c r="C22" i="1"/>
  <c r="AE21" i="1"/>
  <c r="AF21" i="1" s="1"/>
  <c r="V21" i="1"/>
  <c r="G21" i="1"/>
  <c r="D21" i="1"/>
  <c r="C21" i="1"/>
  <c r="AE20" i="1"/>
  <c r="AF20" i="1" s="1"/>
  <c r="V20" i="1"/>
  <c r="G20" i="1"/>
  <c r="D20" i="1"/>
  <c r="C20" i="1"/>
  <c r="AE19" i="1"/>
  <c r="AF19" i="1" s="1"/>
  <c r="V19" i="1"/>
  <c r="G19" i="1"/>
  <c r="D19" i="1"/>
  <c r="C19" i="1"/>
  <c r="AE18" i="1"/>
  <c r="AF18" i="1" s="1"/>
  <c r="V18" i="1"/>
  <c r="G18" i="1"/>
  <c r="D18" i="1"/>
  <c r="C18" i="1"/>
  <c r="AE17" i="1"/>
  <c r="AF17" i="1" s="1"/>
  <c r="V17" i="1"/>
  <c r="G17" i="1"/>
  <c r="D17" i="1"/>
  <c r="C17" i="1"/>
  <c r="AE16" i="1"/>
  <c r="AF16" i="1" s="1"/>
  <c r="V16" i="1"/>
  <c r="G16" i="1"/>
  <c r="D16" i="1"/>
  <c r="C16" i="1"/>
  <c r="AE15" i="1"/>
  <c r="AF15" i="1" s="1"/>
  <c r="V15" i="1"/>
  <c r="G15" i="1"/>
  <c r="D15" i="1"/>
  <c r="C15" i="1"/>
  <c r="AE14" i="1"/>
  <c r="AF14" i="1" s="1"/>
  <c r="V14" i="1"/>
  <c r="G14" i="1"/>
  <c r="D14" i="1"/>
  <c r="C14" i="1"/>
  <c r="AE13" i="1"/>
  <c r="AF13" i="1" s="1"/>
  <c r="V13" i="1"/>
  <c r="G13" i="1"/>
  <c r="D13" i="1"/>
  <c r="C13" i="1"/>
  <c r="AE12" i="1"/>
  <c r="AF12" i="1" s="1"/>
  <c r="V12" i="1"/>
  <c r="G12" i="1"/>
  <c r="D12" i="1"/>
  <c r="C12" i="1"/>
  <c r="AE11" i="1"/>
  <c r="AF11" i="1" s="1"/>
  <c r="V11" i="1"/>
  <c r="G11" i="1"/>
  <c r="D11" i="1"/>
  <c r="C11" i="1"/>
  <c r="AE10" i="1"/>
  <c r="AF10" i="1" s="1"/>
  <c r="V10" i="1"/>
  <c r="G10" i="1"/>
  <c r="D10" i="1"/>
  <c r="C10" i="1"/>
  <c r="AE9" i="1"/>
  <c r="AF9" i="1" s="1"/>
  <c r="V9" i="1"/>
  <c r="G9" i="1"/>
  <c r="D9" i="1"/>
  <c r="C9" i="1"/>
  <c r="AE8" i="1"/>
  <c r="AF8" i="1" s="1"/>
  <c r="V8" i="1"/>
  <c r="G8" i="1"/>
  <c r="D8" i="1"/>
  <c r="C8" i="1"/>
  <c r="AE7" i="1"/>
  <c r="AF7" i="1" s="1"/>
  <c r="V7" i="1"/>
  <c r="G7" i="1"/>
  <c r="D7" i="1"/>
  <c r="C7" i="1"/>
  <c r="W8" i="1" l="1"/>
  <c r="W33" i="1"/>
  <c r="W37" i="1"/>
  <c r="W42" i="1"/>
  <c r="W11" i="1"/>
  <c r="W36" i="1"/>
  <c r="W27" i="1"/>
  <c r="W23" i="1"/>
  <c r="W15" i="1"/>
  <c r="W24" i="1"/>
  <c r="W9" i="1"/>
  <c r="W26" i="1"/>
  <c r="W30" i="1"/>
  <c r="W28" i="1"/>
  <c r="W32" i="1"/>
  <c r="W35" i="1"/>
  <c r="W22" i="1"/>
  <c r="W44" i="1"/>
  <c r="W17" i="1"/>
  <c r="W21" i="1"/>
  <c r="W29" i="1"/>
  <c r="W40" i="1"/>
  <c r="W7" i="1"/>
  <c r="W41" i="1"/>
  <c r="W14" i="1"/>
  <c r="W19" i="1"/>
  <c r="W45" i="1"/>
  <c r="W25" i="1"/>
  <c r="W12" i="1"/>
  <c r="W34" i="1"/>
  <c r="W38" i="1"/>
  <c r="W39" i="1"/>
  <c r="W43" i="1"/>
  <c r="W10" i="1"/>
  <c r="W20" i="1"/>
  <c r="W13" i="1"/>
  <c r="W18" i="1"/>
  <c r="W16" i="1"/>
  <c r="W31" i="1"/>
</calcChain>
</file>

<file path=xl/sharedStrings.xml><?xml version="1.0" encoding="utf-8"?>
<sst xmlns="http://schemas.openxmlformats.org/spreadsheetml/2006/main" count="87" uniqueCount="78">
  <si>
    <t>Ведомость расхода стали, кг</t>
  </si>
  <si>
    <t>Марка элемента</t>
  </si>
  <si>
    <t>Изделия арматурные</t>
  </si>
  <si>
    <t>Изделия закладные</t>
  </si>
  <si>
    <t>Арматура класса</t>
  </si>
  <si>
    <t>Всего</t>
  </si>
  <si>
    <t>Марка стали</t>
  </si>
  <si>
    <t>Вр-I</t>
  </si>
  <si>
    <t>А240</t>
  </si>
  <si>
    <t>А500С</t>
  </si>
  <si>
    <t>С245</t>
  </si>
  <si>
    <t>ГОСТ 6727-80</t>
  </si>
  <si>
    <t>ГОСТ 34028-2016</t>
  </si>
  <si>
    <t>ГОСТ Р 58064-2018</t>
  </si>
  <si>
    <t>ГОСТ 103-2006</t>
  </si>
  <si>
    <t>Кол-во</t>
  </si>
  <si>
    <t>5</t>
  </si>
  <si>
    <t>Итого</t>
  </si>
  <si>
    <t>6</t>
  </si>
  <si>
    <t>10</t>
  </si>
  <si>
    <t>8</t>
  </si>
  <si>
    <t>12</t>
  </si>
  <si>
    <t>14</t>
  </si>
  <si>
    <t>16</t>
  </si>
  <si>
    <t>18</t>
  </si>
  <si>
    <t>20</t>
  </si>
  <si>
    <t>22</t>
  </si>
  <si>
    <t>25</t>
  </si>
  <si>
    <t>28</t>
  </si>
  <si>
    <t>32</t>
  </si>
  <si>
    <t>36</t>
  </si>
  <si>
    <t>40</t>
  </si>
  <si>
    <t>219x6</t>
  </si>
  <si>
    <t>273x6</t>
  </si>
  <si>
    <t>325x6</t>
  </si>
  <si>
    <t>377x6</t>
  </si>
  <si>
    <t>426x7</t>
  </si>
  <si>
    <t>-4x40</t>
  </si>
  <si>
    <t>Стена (разрез 1-1) на отм. -5,750</t>
  </si>
  <si>
    <t>Стена (разрез 2-2) на отм. -5,750</t>
  </si>
  <si>
    <t>Стена (разрез 3-3) на отм. -5,750</t>
  </si>
  <si>
    <t>Стена (разрез 4-4) на отм. -5,750</t>
  </si>
  <si>
    <t>Стена (разрез 5-5) на отм. -5,750</t>
  </si>
  <si>
    <t>Стена (разрез 6-6) на отм. -5,750</t>
  </si>
  <si>
    <t>Стена (разрез 7-7) на отм. -5,750</t>
  </si>
  <si>
    <t>Стена (разрез 8-8) на отм. -3,050</t>
  </si>
  <si>
    <t>Стена (разрез 9-9) на отм. -3,050</t>
  </si>
  <si>
    <t>Стена (разрез 10-10) на отм. -3,050</t>
  </si>
  <si>
    <t>Стена (разрез 11-11) на отм. -3,050</t>
  </si>
  <si>
    <t>Стена (разрез 12-12) на отм. -5,750</t>
  </si>
  <si>
    <t>Стена (разрез 13-13) на отм. -3,050</t>
  </si>
  <si>
    <t>Стена (разрез 14-14) на отм. -5,750</t>
  </si>
  <si>
    <t>Стена (разрез 15-15) на отм. -2,050</t>
  </si>
  <si>
    <t>Стена (разрез 16-16) на отм. -2,050</t>
  </si>
  <si>
    <t>Стена (разрез 17-17) на отм. -1,550</t>
  </si>
  <si>
    <t>Стена (разрез 18-18) на отм. -1,750</t>
  </si>
  <si>
    <t>Колонна монолитная КМ1 на отм. -5.750</t>
  </si>
  <si>
    <t>Колонна монолитная КМ2 на отм. -5.750</t>
  </si>
  <si>
    <t>Колонна монолитная КМ3 на отм. -5.750</t>
  </si>
  <si>
    <t>Колонна монолитная КМ4 на отм. -5.750</t>
  </si>
  <si>
    <t>Колонна монолитная КМ5 на отм. -5.750</t>
  </si>
  <si>
    <t>Колонна монолитная КМ5.1 на отм. -5.750</t>
  </si>
  <si>
    <t>Колонна монолитная КМ5.2 на отм. -5.750</t>
  </si>
  <si>
    <t>Колонна монолитная КМ5.3 на отм. -5.750</t>
  </si>
  <si>
    <t>Колонна монолитная КМ5.4 на отм. -5.750</t>
  </si>
  <si>
    <t>Колонна монолитная КМ5.5 на отм. -5.750</t>
  </si>
  <si>
    <t>Колонна монолитная КМ5.6 на отм. -5.750</t>
  </si>
  <si>
    <t>Колонна монолитная КМ6 на отм. -5.750</t>
  </si>
  <si>
    <t>Колонна монолитная КМ7 на отм. -5.750</t>
  </si>
  <si>
    <t>Колонна монолитная КМ7.1 на отм. -5.750</t>
  </si>
  <si>
    <t>Колонна монолитная КМ7.2 на отм. -5.750</t>
  </si>
  <si>
    <t>Колонна монолитная КМ7.3 на отм. -5.750</t>
  </si>
  <si>
    <t>Колонна монолитная КМ7.4 на отм. -5.750</t>
  </si>
  <si>
    <t>Колонна монолитная КМ7.5 на отм. -5.750</t>
  </si>
  <si>
    <t>Колонна монолитная КМ8 на отм. -5.750</t>
  </si>
  <si>
    <t>Колонна монолитная КМ8.1 на отм. -5.750</t>
  </si>
  <si>
    <t>Колонна монолитная КМ9 на отм. -5.750</t>
  </si>
  <si>
    <t>Бетонное заполнение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</si>
</sst>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4.15"/>
      <name val="CS Standard"/>
      <family val="2"/>
      <charset val="204"/>
    </font>
    <font>
      <sz val="11"/>
      <name val="Calibri"/>
      <family val="2"/>
      <charset val="204"/>
      <scheme val="minor"/>
    </font>
    <font>
      <sz val="7.1"/>
      <name val="CS Standard"/>
      <family val="2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medium">
        <color rgb="FF808080"/>
      </top>
      <bottom/>
      <diagonal/>
    </border>
    <border>
      <left/>
      <right style="medium">
        <color rgb="FF808080"/>
      </right>
      <top style="medium">
        <color rgb="FF808080"/>
      </top>
      <bottom/>
      <diagonal/>
    </border>
    <border>
      <left/>
      <right style="medium">
        <color rgb="FF808080"/>
      </right>
      <top/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/>
      <diagonal/>
    </border>
    <border>
      <left style="medium">
        <color rgb="FF808080"/>
      </left>
      <right/>
      <top style="medium">
        <color rgb="FF808080"/>
      </top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/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Fill="1" applyBorder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0" fontId="3" fillId="0" borderId="5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3" fillId="0" borderId="5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center" vertical="top" wrapText="1"/>
    </xf>
    <xf numFmtId="0" fontId="3" fillId="0" borderId="4" xfId="0" applyFont="1" applyFill="1" applyBorder="1" applyAlignment="1">
      <alignment horizontal="center" vertical="top" wrapText="1"/>
    </xf>
    <xf numFmtId="0" fontId="3" fillId="0" borderId="5" xfId="0" applyNumberFormat="1" applyFont="1" applyFill="1" applyBorder="1" applyAlignment="1">
      <alignment horizontal="center" vertical="top"/>
    </xf>
    <xf numFmtId="0" fontId="3" fillId="0" borderId="5" xfId="0" applyNumberFormat="1" applyFont="1" applyFill="1" applyBorder="1" applyAlignment="1">
      <alignment horizontal="center" vertical="center"/>
    </xf>
    <xf numFmtId="0" fontId="3" fillId="0" borderId="4" xfId="0" applyNumberFormat="1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left" vertical="top"/>
    </xf>
    <xf numFmtId="0" fontId="3" fillId="0" borderId="7" xfId="0" applyNumberFormat="1" applyFont="1" applyFill="1" applyBorder="1" applyAlignment="1">
      <alignment horizontal="center" vertical="center"/>
    </xf>
    <xf numFmtId="0" fontId="3" fillId="0" borderId="7" xfId="0" applyNumberFormat="1" applyFont="1" applyFill="1" applyBorder="1" applyAlignment="1">
      <alignment horizontal="center" vertical="top"/>
    </xf>
    <xf numFmtId="0" fontId="3" fillId="0" borderId="6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67C8B-4FD3-4EA0-9957-C5D28E29203E}">
  <dimension ref="A1:AF47"/>
  <sheetViews>
    <sheetView tabSelected="1" workbookViewId="0">
      <selection activeCell="C3" sqref="C3:V3"/>
    </sheetView>
  </sheetViews>
  <sheetFormatPr defaultRowHeight="15" x14ac:dyDescent="0.25"/>
  <cols>
    <col min="1" max="1" width="18.85546875" customWidth="1"/>
    <col min="2" max="32" width="7.42578125" customWidth="1"/>
  </cols>
  <sheetData>
    <row r="1" spans="1:32" ht="22.7" customHeight="1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ht="22.7" customHeight="1" thickBot="1" x14ac:dyDescent="0.3">
      <c r="A2" s="3" t="s">
        <v>1</v>
      </c>
      <c r="B2" s="4"/>
      <c r="C2" s="5" t="s">
        <v>2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5" t="s">
        <v>3</v>
      </c>
      <c r="Y2" s="6"/>
      <c r="Z2" s="6"/>
      <c r="AA2" s="6"/>
      <c r="AB2" s="6"/>
      <c r="AC2" s="6"/>
      <c r="AD2" s="6"/>
      <c r="AE2" s="6"/>
      <c r="AF2" s="7"/>
    </row>
    <row r="3" spans="1:32" ht="22.7" customHeight="1" thickBot="1" x14ac:dyDescent="0.3">
      <c r="A3" s="8"/>
      <c r="B3" s="9"/>
      <c r="C3" s="5" t="s">
        <v>4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5" t="s">
        <v>5</v>
      </c>
      <c r="X3" s="5" t="s">
        <v>6</v>
      </c>
      <c r="Y3" s="6"/>
      <c r="Z3" s="6"/>
      <c r="AA3" s="6"/>
      <c r="AB3" s="6"/>
      <c r="AC3" s="6"/>
      <c r="AD3" s="6"/>
      <c r="AE3" s="6"/>
      <c r="AF3" s="10" t="s">
        <v>5</v>
      </c>
    </row>
    <row r="4" spans="1:32" ht="22.7" customHeight="1" thickBot="1" x14ac:dyDescent="0.3">
      <c r="A4" s="8"/>
      <c r="B4" s="9"/>
      <c r="C4" s="3" t="s">
        <v>7</v>
      </c>
      <c r="D4" s="11"/>
      <c r="E4" s="3" t="s">
        <v>8</v>
      </c>
      <c r="F4" s="11"/>
      <c r="G4" s="11"/>
      <c r="H4" s="12" t="s">
        <v>9</v>
      </c>
      <c r="I4" s="13"/>
      <c r="J4" s="3" t="s">
        <v>9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4"/>
      <c r="W4" s="15"/>
      <c r="X4" s="3" t="s">
        <v>10</v>
      </c>
      <c r="Y4" s="11"/>
      <c r="Z4" s="11"/>
      <c r="AA4" s="11"/>
      <c r="AB4" s="11"/>
      <c r="AC4" s="11"/>
      <c r="AD4" s="11"/>
      <c r="AE4" s="14"/>
      <c r="AF4" s="16"/>
    </row>
    <row r="5" spans="1:32" ht="22.7" customHeight="1" thickBot="1" x14ac:dyDescent="0.3">
      <c r="A5" s="8"/>
      <c r="B5" s="9"/>
      <c r="C5" s="5" t="s">
        <v>11</v>
      </c>
      <c r="D5" s="6"/>
      <c r="E5" s="5" t="s">
        <v>12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7"/>
      <c r="W5" s="15"/>
      <c r="X5" s="3" t="s">
        <v>13</v>
      </c>
      <c r="Y5" s="11"/>
      <c r="Z5" s="11"/>
      <c r="AA5" s="11"/>
      <c r="AB5" s="11"/>
      <c r="AC5" s="11"/>
      <c r="AD5" s="3" t="s">
        <v>14</v>
      </c>
      <c r="AE5" s="14"/>
      <c r="AF5" s="16"/>
    </row>
    <row r="6" spans="1:32" ht="22.7" customHeight="1" thickBot="1" x14ac:dyDescent="0.3">
      <c r="A6" s="8"/>
      <c r="B6" s="4" t="s">
        <v>15</v>
      </c>
      <c r="C6" s="4" t="s">
        <v>16</v>
      </c>
      <c r="D6" s="4" t="s">
        <v>17</v>
      </c>
      <c r="E6" s="4" t="s">
        <v>18</v>
      </c>
      <c r="F6" s="4" t="s">
        <v>19</v>
      </c>
      <c r="G6" s="4" t="s">
        <v>17</v>
      </c>
      <c r="H6" s="4" t="s">
        <v>18</v>
      </c>
      <c r="I6" s="4" t="s">
        <v>20</v>
      </c>
      <c r="J6" s="4" t="s">
        <v>19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17" t="s">
        <v>17</v>
      </c>
      <c r="W6" s="15"/>
      <c r="X6" s="12" t="s">
        <v>32</v>
      </c>
      <c r="Y6" s="12" t="s">
        <v>33</v>
      </c>
      <c r="Z6" s="12" t="s">
        <v>34</v>
      </c>
      <c r="AA6" s="12" t="s">
        <v>35</v>
      </c>
      <c r="AB6" s="12" t="s">
        <v>36</v>
      </c>
      <c r="AC6" s="12" t="s">
        <v>17</v>
      </c>
      <c r="AD6" s="12" t="s">
        <v>37</v>
      </c>
      <c r="AE6" s="18" t="s">
        <v>17</v>
      </c>
      <c r="AF6" s="16"/>
    </row>
    <row r="7" spans="1:32" ht="22.7" customHeight="1" thickBot="1" x14ac:dyDescent="0.3">
      <c r="A7" s="19" t="s">
        <v>38</v>
      </c>
      <c r="B7" s="20">
        <v>1</v>
      </c>
      <c r="C7" s="12">
        <f>0</f>
        <v>0</v>
      </c>
      <c r="D7" s="12">
        <f>0</f>
        <v>0</v>
      </c>
      <c r="E7" s="20">
        <v>112.33</v>
      </c>
      <c r="F7" s="20">
        <v>0</v>
      </c>
      <c r="G7" s="12">
        <f>E7</f>
        <v>112.33</v>
      </c>
      <c r="H7" s="12">
        <v>0</v>
      </c>
      <c r="I7" s="12">
        <v>0</v>
      </c>
      <c r="J7" s="20">
        <v>0</v>
      </c>
      <c r="K7" s="20">
        <v>2528.4899999999998</v>
      </c>
      <c r="L7" s="20">
        <v>0</v>
      </c>
      <c r="M7" s="20">
        <v>4597.66</v>
      </c>
      <c r="N7" s="20">
        <v>0</v>
      </c>
      <c r="O7" s="20">
        <v>0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  <c r="U7" s="20">
        <v>0</v>
      </c>
      <c r="V7" s="20">
        <f>SUM(H7:U7)</f>
        <v>7126.15</v>
      </c>
      <c r="W7" s="20">
        <f>G7+V7+D7</f>
        <v>7238.48</v>
      </c>
      <c r="X7" s="20">
        <v>0</v>
      </c>
      <c r="Y7" s="20">
        <v>0</v>
      </c>
      <c r="Z7" s="20">
        <v>0</v>
      </c>
      <c r="AA7" s="20">
        <v>0</v>
      </c>
      <c r="AB7" s="20">
        <v>0</v>
      </c>
      <c r="AC7" s="20">
        <v>0</v>
      </c>
      <c r="AD7" s="20">
        <v>0</v>
      </c>
      <c r="AE7" s="20">
        <f>AD7</f>
        <v>0</v>
      </c>
      <c r="AF7" s="21">
        <f>AE7+AC7</f>
        <v>0</v>
      </c>
    </row>
    <row r="8" spans="1:32" ht="22.7" customHeight="1" thickBot="1" x14ac:dyDescent="0.3">
      <c r="A8" s="19" t="s">
        <v>39</v>
      </c>
      <c r="B8" s="20">
        <v>1</v>
      </c>
      <c r="C8" s="12">
        <f>0</f>
        <v>0</v>
      </c>
      <c r="D8" s="12">
        <f>0</f>
        <v>0</v>
      </c>
      <c r="E8" s="20">
        <v>52.05</v>
      </c>
      <c r="F8" s="20">
        <v>0</v>
      </c>
      <c r="G8" s="12">
        <f>E8</f>
        <v>52.05</v>
      </c>
      <c r="H8" s="12">
        <v>0</v>
      </c>
      <c r="I8" s="12">
        <v>0</v>
      </c>
      <c r="J8" s="20">
        <v>0</v>
      </c>
      <c r="K8" s="20">
        <v>1244.97</v>
      </c>
      <c r="L8" s="20">
        <v>0</v>
      </c>
      <c r="M8" s="20">
        <v>2386.2800000000002</v>
      </c>
      <c r="N8" s="20">
        <v>0</v>
      </c>
      <c r="O8" s="20">
        <v>0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0">
        <v>0</v>
      </c>
      <c r="V8" s="20">
        <f>SUM(H8:U8)</f>
        <v>3631.25</v>
      </c>
      <c r="W8" s="20">
        <f>G8+V8+D8</f>
        <v>3683.3</v>
      </c>
      <c r="X8" s="20">
        <v>0</v>
      </c>
      <c r="Y8" s="20">
        <v>11.85</v>
      </c>
      <c r="Z8" s="20">
        <v>14.16</v>
      </c>
      <c r="AA8" s="20">
        <v>0</v>
      </c>
      <c r="AB8" s="20">
        <v>0</v>
      </c>
      <c r="AC8" s="20">
        <v>26.009999999999998</v>
      </c>
      <c r="AD8" s="20">
        <v>0</v>
      </c>
      <c r="AE8" s="20">
        <f>AD8</f>
        <v>0</v>
      </c>
      <c r="AF8" s="21">
        <f>AE8+AC8</f>
        <v>26.009999999999998</v>
      </c>
    </row>
    <row r="9" spans="1:32" ht="22.7" customHeight="1" thickBot="1" x14ac:dyDescent="0.3">
      <c r="A9" s="19" t="s">
        <v>40</v>
      </c>
      <c r="B9" s="20">
        <v>1</v>
      </c>
      <c r="C9" s="12">
        <f>0</f>
        <v>0</v>
      </c>
      <c r="D9" s="12">
        <f>0</f>
        <v>0</v>
      </c>
      <c r="E9" s="20">
        <v>174.41</v>
      </c>
      <c r="F9" s="20">
        <v>0</v>
      </c>
      <c r="G9" s="12">
        <f>E9</f>
        <v>174.41</v>
      </c>
      <c r="H9" s="12">
        <v>0</v>
      </c>
      <c r="I9" s="12">
        <v>0</v>
      </c>
      <c r="J9" s="20">
        <v>0</v>
      </c>
      <c r="K9" s="20">
        <v>3826.43</v>
      </c>
      <c r="L9" s="20">
        <v>0</v>
      </c>
      <c r="M9" s="20">
        <v>8158.35</v>
      </c>
      <c r="N9" s="20">
        <v>0</v>
      </c>
      <c r="O9" s="20">
        <v>0</v>
      </c>
      <c r="P9" s="20">
        <v>0</v>
      </c>
      <c r="Q9" s="20">
        <v>0</v>
      </c>
      <c r="R9" s="20">
        <v>0</v>
      </c>
      <c r="S9" s="20">
        <v>0</v>
      </c>
      <c r="T9" s="20">
        <v>0</v>
      </c>
      <c r="U9" s="20">
        <v>0</v>
      </c>
      <c r="V9" s="20">
        <f>SUM(H9:U9)</f>
        <v>11984.78</v>
      </c>
      <c r="W9" s="20">
        <f>G9+V9+D9</f>
        <v>12159.19</v>
      </c>
      <c r="X9" s="20">
        <v>18.91</v>
      </c>
      <c r="Y9" s="20">
        <v>23.71</v>
      </c>
      <c r="Z9" s="20">
        <v>42.48</v>
      </c>
      <c r="AA9" s="20">
        <v>16.47</v>
      </c>
      <c r="AB9" s="20">
        <v>43.4</v>
      </c>
      <c r="AC9" s="20">
        <v>144.97</v>
      </c>
      <c r="AD9" s="20">
        <v>0</v>
      </c>
      <c r="AE9" s="20">
        <f>AD9</f>
        <v>0</v>
      </c>
      <c r="AF9" s="21">
        <f>AE9+AC9</f>
        <v>144.97</v>
      </c>
    </row>
    <row r="10" spans="1:32" ht="22.7" customHeight="1" thickBot="1" x14ac:dyDescent="0.3">
      <c r="A10" s="19" t="s">
        <v>41</v>
      </c>
      <c r="B10" s="20">
        <v>1</v>
      </c>
      <c r="C10" s="12">
        <f>0</f>
        <v>0</v>
      </c>
      <c r="D10" s="12">
        <f>0</f>
        <v>0</v>
      </c>
      <c r="E10" s="20">
        <v>20.16</v>
      </c>
      <c r="F10" s="20">
        <v>0</v>
      </c>
      <c r="G10" s="12">
        <f>E10</f>
        <v>20.16</v>
      </c>
      <c r="H10" s="12">
        <v>0</v>
      </c>
      <c r="I10" s="12">
        <v>0</v>
      </c>
      <c r="J10" s="20">
        <v>0</v>
      </c>
      <c r="K10" s="20">
        <v>494.53</v>
      </c>
      <c r="L10" s="20">
        <v>0</v>
      </c>
      <c r="M10" s="20">
        <v>766.28</v>
      </c>
      <c r="N10" s="20">
        <v>0</v>
      </c>
      <c r="O10" s="20">
        <v>0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0">
        <v>0</v>
      </c>
      <c r="V10" s="20">
        <f>SUM(H10:U10)</f>
        <v>1260.81</v>
      </c>
      <c r="W10" s="20">
        <f>G10+V10+D10</f>
        <v>1280.97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  <c r="AC10" s="20">
        <v>0</v>
      </c>
      <c r="AD10" s="20">
        <v>0</v>
      </c>
      <c r="AE10" s="20">
        <f>AD10</f>
        <v>0</v>
      </c>
      <c r="AF10" s="21">
        <f>AE10+AC10</f>
        <v>0</v>
      </c>
    </row>
    <row r="11" spans="1:32" ht="22.7" customHeight="1" thickBot="1" x14ac:dyDescent="0.3">
      <c r="A11" s="19" t="s">
        <v>42</v>
      </c>
      <c r="B11" s="20">
        <v>1</v>
      </c>
      <c r="C11" s="12">
        <f>0</f>
        <v>0</v>
      </c>
      <c r="D11" s="12">
        <f>0</f>
        <v>0</v>
      </c>
      <c r="E11" s="20">
        <v>34.1</v>
      </c>
      <c r="F11" s="20">
        <v>0</v>
      </c>
      <c r="G11" s="12">
        <f>E11</f>
        <v>34.1</v>
      </c>
      <c r="H11" s="12">
        <v>0</v>
      </c>
      <c r="I11" s="12">
        <v>0</v>
      </c>
      <c r="J11" s="20">
        <v>0</v>
      </c>
      <c r="K11" s="20">
        <v>849.22</v>
      </c>
      <c r="L11" s="20">
        <v>0</v>
      </c>
      <c r="M11" s="20">
        <v>903.31</v>
      </c>
      <c r="N11" s="20">
        <v>0</v>
      </c>
      <c r="O11" s="20">
        <v>2185.7600000000002</v>
      </c>
      <c r="P11" s="20">
        <v>0</v>
      </c>
      <c r="Q11" s="20">
        <v>0</v>
      </c>
      <c r="R11" s="20">
        <v>0</v>
      </c>
      <c r="S11" s="20">
        <v>0</v>
      </c>
      <c r="T11" s="20">
        <v>0</v>
      </c>
      <c r="U11" s="20">
        <v>0</v>
      </c>
      <c r="V11" s="20">
        <f>SUM(H11:U11)</f>
        <v>3938.29</v>
      </c>
      <c r="W11" s="20">
        <f>G11+V11+D11</f>
        <v>3972.39</v>
      </c>
      <c r="X11" s="20">
        <v>0</v>
      </c>
      <c r="Y11" s="20">
        <v>0</v>
      </c>
      <c r="Z11" s="20">
        <v>0</v>
      </c>
      <c r="AA11" s="20">
        <v>0</v>
      </c>
      <c r="AB11" s="20">
        <v>0</v>
      </c>
      <c r="AC11" s="20">
        <v>0</v>
      </c>
      <c r="AD11" s="20">
        <v>0</v>
      </c>
      <c r="AE11" s="20">
        <f>AD11</f>
        <v>0</v>
      </c>
      <c r="AF11" s="21">
        <f>AE11+AC11</f>
        <v>0</v>
      </c>
    </row>
    <row r="12" spans="1:32" ht="22.7" customHeight="1" thickBot="1" x14ac:dyDescent="0.3">
      <c r="A12" s="19" t="s">
        <v>43</v>
      </c>
      <c r="B12" s="20">
        <v>1</v>
      </c>
      <c r="C12" s="12">
        <f>0</f>
        <v>0</v>
      </c>
      <c r="D12" s="12">
        <f>0</f>
        <v>0</v>
      </c>
      <c r="E12" s="20">
        <v>19.2</v>
      </c>
      <c r="F12" s="20">
        <v>0</v>
      </c>
      <c r="G12" s="12">
        <f>E12</f>
        <v>19.2</v>
      </c>
      <c r="H12" s="12">
        <v>0</v>
      </c>
      <c r="I12" s="12">
        <v>0</v>
      </c>
      <c r="J12" s="20">
        <v>0</v>
      </c>
      <c r="K12" s="20">
        <v>736.04</v>
      </c>
      <c r="L12" s="20">
        <v>0</v>
      </c>
      <c r="M12" s="20">
        <v>146</v>
      </c>
      <c r="N12" s="20">
        <v>0</v>
      </c>
      <c r="O12" s="20">
        <v>267.31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f>SUM(H12:U12)</f>
        <v>1149.3499999999999</v>
      </c>
      <c r="W12" s="20">
        <f>G12+V12+D12</f>
        <v>1168.55</v>
      </c>
      <c r="X12" s="20">
        <v>0</v>
      </c>
      <c r="Y12" s="20">
        <v>0</v>
      </c>
      <c r="Z12" s="20">
        <v>0</v>
      </c>
      <c r="AA12" s="20">
        <v>0</v>
      </c>
      <c r="AB12" s="20">
        <v>0</v>
      </c>
      <c r="AC12" s="20">
        <v>0</v>
      </c>
      <c r="AD12" s="20">
        <v>0</v>
      </c>
      <c r="AE12" s="20">
        <f>AD12</f>
        <v>0</v>
      </c>
      <c r="AF12" s="21">
        <f>AE12+AC12</f>
        <v>0</v>
      </c>
    </row>
    <row r="13" spans="1:32" ht="22.7" customHeight="1" thickBot="1" x14ac:dyDescent="0.3">
      <c r="A13" s="19" t="s">
        <v>44</v>
      </c>
      <c r="B13" s="20">
        <v>1</v>
      </c>
      <c r="C13" s="12">
        <f>0</f>
        <v>0</v>
      </c>
      <c r="D13" s="12">
        <f>0</f>
        <v>0</v>
      </c>
      <c r="E13" s="20">
        <v>19.2</v>
      </c>
      <c r="F13" s="20">
        <v>0</v>
      </c>
      <c r="G13" s="12">
        <f>E13</f>
        <v>19.2</v>
      </c>
      <c r="H13" s="12">
        <v>0</v>
      </c>
      <c r="I13" s="12">
        <v>0</v>
      </c>
      <c r="J13" s="20">
        <v>0</v>
      </c>
      <c r="K13" s="20">
        <v>736.04</v>
      </c>
      <c r="L13" s="20">
        <v>0</v>
      </c>
      <c r="M13" s="20">
        <v>146</v>
      </c>
      <c r="N13" s="20">
        <v>0</v>
      </c>
      <c r="O13" s="20">
        <v>267.31</v>
      </c>
      <c r="P13" s="20">
        <v>0</v>
      </c>
      <c r="Q13" s="20">
        <v>0</v>
      </c>
      <c r="R13" s="20">
        <v>0</v>
      </c>
      <c r="S13" s="20">
        <v>0</v>
      </c>
      <c r="T13" s="20">
        <v>0</v>
      </c>
      <c r="U13" s="20">
        <v>0</v>
      </c>
      <c r="V13" s="20">
        <f>SUM(H13:U13)</f>
        <v>1149.3499999999999</v>
      </c>
      <c r="W13" s="20">
        <f>G13+V13+D13</f>
        <v>1168.55</v>
      </c>
      <c r="X13" s="20">
        <v>0</v>
      </c>
      <c r="Y13" s="20">
        <v>0</v>
      </c>
      <c r="Z13" s="20">
        <v>0</v>
      </c>
      <c r="AA13" s="20">
        <v>0</v>
      </c>
      <c r="AB13" s="20">
        <v>0</v>
      </c>
      <c r="AC13" s="20">
        <v>0</v>
      </c>
      <c r="AD13" s="20">
        <v>0</v>
      </c>
      <c r="AE13" s="20">
        <f>AD13</f>
        <v>0</v>
      </c>
      <c r="AF13" s="21">
        <f>AE13+AC13</f>
        <v>0</v>
      </c>
    </row>
    <row r="14" spans="1:32" ht="22.7" customHeight="1" thickBot="1" x14ac:dyDescent="0.3">
      <c r="A14" s="19" t="s">
        <v>45</v>
      </c>
      <c r="B14" s="20">
        <v>1</v>
      </c>
      <c r="C14" s="12">
        <f>0</f>
        <v>0</v>
      </c>
      <c r="D14" s="12">
        <f>0</f>
        <v>0</v>
      </c>
      <c r="E14" s="20">
        <v>13.29</v>
      </c>
      <c r="F14" s="20">
        <v>0</v>
      </c>
      <c r="G14" s="12">
        <f>E14</f>
        <v>13.29</v>
      </c>
      <c r="H14" s="12">
        <v>0</v>
      </c>
      <c r="I14" s="12">
        <v>0</v>
      </c>
      <c r="J14" s="20">
        <v>0</v>
      </c>
      <c r="K14" s="20">
        <v>750.04</v>
      </c>
      <c r="L14" s="20">
        <v>0</v>
      </c>
      <c r="M14" s="20">
        <v>31.91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f>SUM(H14:U14)</f>
        <v>781.94999999999993</v>
      </c>
      <c r="W14" s="20">
        <f>G14+V14+D14</f>
        <v>795.2399999999999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0">
        <f>AD14</f>
        <v>0</v>
      </c>
      <c r="AF14" s="21">
        <f>AE14+AC14</f>
        <v>0</v>
      </c>
    </row>
    <row r="15" spans="1:32" ht="22.7" customHeight="1" thickBot="1" x14ac:dyDescent="0.3">
      <c r="A15" s="19" t="s">
        <v>46</v>
      </c>
      <c r="B15" s="20">
        <v>1</v>
      </c>
      <c r="C15" s="12">
        <f>0</f>
        <v>0</v>
      </c>
      <c r="D15" s="12">
        <f>0</f>
        <v>0</v>
      </c>
      <c r="E15" s="20">
        <v>18.41</v>
      </c>
      <c r="F15" s="20">
        <v>0</v>
      </c>
      <c r="G15" s="12">
        <f>E15</f>
        <v>18.41</v>
      </c>
      <c r="H15" s="12">
        <v>0</v>
      </c>
      <c r="I15" s="12">
        <v>0</v>
      </c>
      <c r="J15" s="20">
        <v>0</v>
      </c>
      <c r="K15" s="20">
        <v>1222.82</v>
      </c>
      <c r="L15" s="20">
        <v>0</v>
      </c>
      <c r="M15" s="20">
        <v>42.54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f>SUM(H15:U15)</f>
        <v>1265.3599999999999</v>
      </c>
      <c r="W15" s="20">
        <f>G15+V15+D15</f>
        <v>1283.77</v>
      </c>
      <c r="X15" s="20">
        <v>0</v>
      </c>
      <c r="Y15" s="20">
        <v>0</v>
      </c>
      <c r="Z15" s="20">
        <v>0</v>
      </c>
      <c r="AA15" s="20">
        <v>0</v>
      </c>
      <c r="AB15" s="20">
        <v>0</v>
      </c>
      <c r="AC15" s="20">
        <v>0</v>
      </c>
      <c r="AD15" s="20">
        <v>0</v>
      </c>
      <c r="AE15" s="20">
        <f>AD15</f>
        <v>0</v>
      </c>
      <c r="AF15" s="21">
        <f>AE15+AC15</f>
        <v>0</v>
      </c>
    </row>
    <row r="16" spans="1:32" ht="22.7" customHeight="1" thickBot="1" x14ac:dyDescent="0.3">
      <c r="A16" s="19" t="s">
        <v>47</v>
      </c>
      <c r="B16" s="20">
        <v>1</v>
      </c>
      <c r="C16" s="12">
        <f>0</f>
        <v>0</v>
      </c>
      <c r="D16" s="12">
        <f>0</f>
        <v>0</v>
      </c>
      <c r="E16" s="20">
        <v>1.79</v>
      </c>
      <c r="F16" s="20">
        <v>0</v>
      </c>
      <c r="G16" s="12">
        <f>E16</f>
        <v>1.79</v>
      </c>
      <c r="H16" s="12">
        <v>0</v>
      </c>
      <c r="I16" s="12">
        <v>0</v>
      </c>
      <c r="J16" s="20">
        <v>0</v>
      </c>
      <c r="K16" s="20">
        <v>127.06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0">
        <f>SUM(H16:U16)</f>
        <v>127.06</v>
      </c>
      <c r="W16" s="20">
        <f>G16+V16+D16</f>
        <v>128.85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f>AD16</f>
        <v>0</v>
      </c>
      <c r="AF16" s="21">
        <f>AE16+AC16</f>
        <v>0</v>
      </c>
    </row>
    <row r="17" spans="1:32" ht="22.7" customHeight="1" thickBot="1" x14ac:dyDescent="0.3">
      <c r="A17" s="19" t="s">
        <v>48</v>
      </c>
      <c r="B17" s="20">
        <v>1</v>
      </c>
      <c r="C17" s="12">
        <f>0</f>
        <v>0</v>
      </c>
      <c r="D17" s="12">
        <f>0</f>
        <v>0</v>
      </c>
      <c r="E17" s="20">
        <v>2.1800000000000002</v>
      </c>
      <c r="F17" s="20">
        <v>0</v>
      </c>
      <c r="G17" s="12">
        <f>E17</f>
        <v>2.1800000000000002</v>
      </c>
      <c r="H17" s="12">
        <v>0</v>
      </c>
      <c r="I17" s="12">
        <v>0</v>
      </c>
      <c r="J17" s="20">
        <v>0</v>
      </c>
      <c r="K17" s="20">
        <v>151.12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f>SUM(H17:U17)</f>
        <v>151.12</v>
      </c>
      <c r="W17" s="20">
        <f>G17+V17+D17</f>
        <v>153.30000000000001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f>AD17</f>
        <v>0</v>
      </c>
      <c r="AF17" s="21">
        <f>AE17+AC17</f>
        <v>0</v>
      </c>
    </row>
    <row r="18" spans="1:32" ht="22.7" customHeight="1" thickBot="1" x14ac:dyDescent="0.3">
      <c r="A18" s="19" t="s">
        <v>49</v>
      </c>
      <c r="B18" s="20">
        <v>1</v>
      </c>
      <c r="C18" s="12">
        <f>0</f>
        <v>0</v>
      </c>
      <c r="D18" s="12">
        <f>0</f>
        <v>0</v>
      </c>
      <c r="E18" s="20">
        <v>21.93</v>
      </c>
      <c r="F18" s="20">
        <v>0</v>
      </c>
      <c r="G18" s="12">
        <f>E18</f>
        <v>21.93</v>
      </c>
      <c r="H18" s="12">
        <v>0</v>
      </c>
      <c r="I18" s="12">
        <v>0</v>
      </c>
      <c r="J18" s="20">
        <v>0</v>
      </c>
      <c r="K18" s="20">
        <v>230.54</v>
      </c>
      <c r="L18" s="20">
        <v>0</v>
      </c>
      <c r="M18" s="20">
        <v>1292.25</v>
      </c>
      <c r="N18" s="20">
        <v>0</v>
      </c>
      <c r="O18" s="20">
        <v>73.39</v>
      </c>
      <c r="P18" s="20">
        <v>0</v>
      </c>
      <c r="Q18" s="20">
        <v>1032.2</v>
      </c>
      <c r="R18" s="20">
        <v>0</v>
      </c>
      <c r="S18" s="20">
        <v>0</v>
      </c>
      <c r="T18" s="20">
        <v>0</v>
      </c>
      <c r="U18" s="20">
        <v>0</v>
      </c>
      <c r="V18" s="20">
        <f>SUM(H18:U18)</f>
        <v>2628.38</v>
      </c>
      <c r="W18" s="20">
        <f>G18+V18+D18</f>
        <v>2650.31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f>AD18</f>
        <v>0</v>
      </c>
      <c r="AF18" s="21">
        <f>AE18+AC18</f>
        <v>0</v>
      </c>
    </row>
    <row r="19" spans="1:32" ht="22.7" customHeight="1" thickBot="1" x14ac:dyDescent="0.3">
      <c r="A19" s="19" t="s">
        <v>50</v>
      </c>
      <c r="B19" s="20">
        <v>1</v>
      </c>
      <c r="C19" s="12">
        <f>0</f>
        <v>0</v>
      </c>
      <c r="D19" s="12">
        <f>0</f>
        <v>0</v>
      </c>
      <c r="E19" s="20">
        <v>1.79</v>
      </c>
      <c r="F19" s="20">
        <v>0</v>
      </c>
      <c r="G19" s="12">
        <f>E19</f>
        <v>1.79</v>
      </c>
      <c r="H19" s="12">
        <v>0</v>
      </c>
      <c r="I19" s="12">
        <v>0</v>
      </c>
      <c r="J19" s="20">
        <v>0</v>
      </c>
      <c r="K19" s="20">
        <v>215.22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  <c r="U19" s="20">
        <v>0</v>
      </c>
      <c r="V19" s="20">
        <f>SUM(H19:U19)</f>
        <v>215.22</v>
      </c>
      <c r="W19" s="20">
        <f>G19+V19+D19</f>
        <v>217.01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f>AD19</f>
        <v>0</v>
      </c>
      <c r="AF19" s="21">
        <f>AE19+AC19</f>
        <v>0</v>
      </c>
    </row>
    <row r="20" spans="1:32" ht="22.7" customHeight="1" thickBot="1" x14ac:dyDescent="0.3">
      <c r="A20" s="19" t="s">
        <v>51</v>
      </c>
      <c r="B20" s="20">
        <v>1</v>
      </c>
      <c r="C20" s="12">
        <f>0</f>
        <v>0</v>
      </c>
      <c r="D20" s="12">
        <f>0</f>
        <v>0</v>
      </c>
      <c r="E20" s="20">
        <v>118.37</v>
      </c>
      <c r="F20" s="20">
        <v>0</v>
      </c>
      <c r="G20" s="12">
        <f>E20</f>
        <v>118.37</v>
      </c>
      <c r="H20" s="12">
        <v>0</v>
      </c>
      <c r="I20" s="12">
        <v>0</v>
      </c>
      <c r="J20" s="20">
        <v>0</v>
      </c>
      <c r="K20" s="20">
        <v>4338.3999999999996</v>
      </c>
      <c r="L20" s="20">
        <v>0</v>
      </c>
      <c r="M20" s="20">
        <v>5173.6899999999996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f>SUM(H20:U20)</f>
        <v>9512.09</v>
      </c>
      <c r="W20" s="20">
        <f>G20+V20+D20</f>
        <v>9630.4600000000009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D20" s="20">
        <v>1.88</v>
      </c>
      <c r="AE20" s="20">
        <f>AD20</f>
        <v>1.88</v>
      </c>
      <c r="AF20" s="21">
        <f>AE20+AC20</f>
        <v>1.88</v>
      </c>
    </row>
    <row r="21" spans="1:32" ht="22.7" customHeight="1" thickBot="1" x14ac:dyDescent="0.3">
      <c r="A21" s="19" t="s">
        <v>52</v>
      </c>
      <c r="B21" s="20">
        <v>1</v>
      </c>
      <c r="C21" s="12">
        <f>0</f>
        <v>0</v>
      </c>
      <c r="D21" s="12">
        <f>0</f>
        <v>0</v>
      </c>
      <c r="E21" s="20">
        <v>8.2100000000000009</v>
      </c>
      <c r="F21" s="20">
        <v>0</v>
      </c>
      <c r="G21" s="12">
        <f>E21</f>
        <v>8.2100000000000009</v>
      </c>
      <c r="H21" s="12">
        <v>0</v>
      </c>
      <c r="I21" s="12">
        <v>0</v>
      </c>
      <c r="J21" s="20">
        <v>0</v>
      </c>
      <c r="K21" s="20">
        <v>269.08999999999997</v>
      </c>
      <c r="L21" s="20">
        <v>0</v>
      </c>
      <c r="M21" s="20">
        <v>177.45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f>SUM(H21:U21)</f>
        <v>446.53999999999996</v>
      </c>
      <c r="W21" s="20">
        <f>G21+V21+D21</f>
        <v>454.74999999999994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f>AD21</f>
        <v>0</v>
      </c>
      <c r="AF21" s="21">
        <f>AE21+AC21</f>
        <v>0</v>
      </c>
    </row>
    <row r="22" spans="1:32" ht="22.7" customHeight="1" thickBot="1" x14ac:dyDescent="0.3">
      <c r="A22" s="19" t="s">
        <v>53</v>
      </c>
      <c r="B22" s="20">
        <v>1</v>
      </c>
      <c r="C22" s="12">
        <f>0</f>
        <v>0</v>
      </c>
      <c r="D22" s="12">
        <f>0</f>
        <v>0</v>
      </c>
      <c r="E22" s="20">
        <v>8.1</v>
      </c>
      <c r="F22" s="20">
        <v>0</v>
      </c>
      <c r="G22" s="12">
        <f>E22</f>
        <v>8.1</v>
      </c>
      <c r="H22" s="12">
        <v>0</v>
      </c>
      <c r="I22" s="12">
        <v>0</v>
      </c>
      <c r="J22" s="20">
        <v>0</v>
      </c>
      <c r="K22" s="20">
        <v>215.96</v>
      </c>
      <c r="L22" s="20">
        <v>0</v>
      </c>
      <c r="M22" s="20">
        <v>147.80000000000001</v>
      </c>
      <c r="N22" s="20">
        <v>0</v>
      </c>
      <c r="O22" s="20">
        <v>258.83</v>
      </c>
      <c r="P22" s="20">
        <v>0</v>
      </c>
      <c r="Q22" s="20">
        <v>0</v>
      </c>
      <c r="R22" s="20">
        <v>0</v>
      </c>
      <c r="S22" s="20">
        <v>0</v>
      </c>
      <c r="T22" s="20">
        <v>0</v>
      </c>
      <c r="U22" s="20">
        <v>0</v>
      </c>
      <c r="V22" s="20">
        <f>SUM(H22:U22)</f>
        <v>622.58999999999992</v>
      </c>
      <c r="W22" s="20">
        <f>G22+V22+D22</f>
        <v>630.68999999999994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f>AD22</f>
        <v>0</v>
      </c>
      <c r="AF22" s="21">
        <f>AE22+AC22</f>
        <v>0</v>
      </c>
    </row>
    <row r="23" spans="1:32" ht="22.7" customHeight="1" thickBot="1" x14ac:dyDescent="0.3">
      <c r="A23" s="19" t="s">
        <v>54</v>
      </c>
      <c r="B23" s="20">
        <v>1</v>
      </c>
      <c r="C23" s="12">
        <f>0</f>
        <v>0</v>
      </c>
      <c r="D23" s="12">
        <f>0</f>
        <v>0</v>
      </c>
      <c r="E23" s="20">
        <v>7.55</v>
      </c>
      <c r="F23" s="20">
        <v>0</v>
      </c>
      <c r="G23" s="12">
        <f>E23</f>
        <v>7.55</v>
      </c>
      <c r="H23" s="12">
        <v>0</v>
      </c>
      <c r="I23" s="12">
        <v>0</v>
      </c>
      <c r="J23" s="20">
        <v>0</v>
      </c>
      <c r="K23" s="20">
        <v>210.06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0</v>
      </c>
      <c r="V23" s="20">
        <f>SUM(H23:U23)</f>
        <v>210.06</v>
      </c>
      <c r="W23" s="20">
        <f>G23+V23+D23</f>
        <v>217.61</v>
      </c>
      <c r="X23" s="20">
        <v>0</v>
      </c>
      <c r="Y23" s="20">
        <v>0</v>
      </c>
      <c r="Z23" s="20">
        <v>0</v>
      </c>
      <c r="AA23" s="20">
        <v>0</v>
      </c>
      <c r="AB23" s="20">
        <v>0</v>
      </c>
      <c r="AC23" s="20">
        <v>0</v>
      </c>
      <c r="AD23" s="20">
        <v>0</v>
      </c>
      <c r="AE23" s="20">
        <f>AD23</f>
        <v>0</v>
      </c>
      <c r="AF23" s="21">
        <f>AE23+AC23</f>
        <v>0</v>
      </c>
    </row>
    <row r="24" spans="1:32" ht="22.7" customHeight="1" thickBot="1" x14ac:dyDescent="0.3">
      <c r="A24" s="19" t="s">
        <v>55</v>
      </c>
      <c r="B24" s="20">
        <v>1</v>
      </c>
      <c r="C24" s="12">
        <f>0</f>
        <v>0</v>
      </c>
      <c r="D24" s="12">
        <f>0</f>
        <v>0</v>
      </c>
      <c r="E24" s="20">
        <v>34.770000000000003</v>
      </c>
      <c r="F24" s="20">
        <v>0</v>
      </c>
      <c r="G24" s="12">
        <f>E24</f>
        <v>34.770000000000003</v>
      </c>
      <c r="H24" s="12">
        <v>0</v>
      </c>
      <c r="I24" s="12">
        <v>0</v>
      </c>
      <c r="J24" s="20">
        <v>0</v>
      </c>
      <c r="K24" s="20">
        <v>96.03</v>
      </c>
      <c r="L24" s="20">
        <v>0</v>
      </c>
      <c r="M24" s="20">
        <v>987.11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  <c r="V24" s="20">
        <f>SUM(H24:U24)</f>
        <v>1083.1400000000001</v>
      </c>
      <c r="W24" s="20">
        <f>G24+V24+D24</f>
        <v>1117.9100000000001</v>
      </c>
      <c r="X24" s="20">
        <v>0</v>
      </c>
      <c r="Y24" s="20">
        <v>0</v>
      </c>
      <c r="Z24" s="20">
        <v>0</v>
      </c>
      <c r="AA24" s="20">
        <v>0</v>
      </c>
      <c r="AB24" s="20">
        <v>0</v>
      </c>
      <c r="AC24" s="20">
        <v>0</v>
      </c>
      <c r="AD24" s="20">
        <v>0</v>
      </c>
      <c r="AE24" s="20">
        <f>AD24</f>
        <v>0</v>
      </c>
      <c r="AF24" s="21">
        <f>AE24+AC24</f>
        <v>0</v>
      </c>
    </row>
    <row r="25" spans="1:32" ht="22.7" customHeight="1" thickBot="1" x14ac:dyDescent="0.3">
      <c r="A25" s="19" t="s">
        <v>56</v>
      </c>
      <c r="B25" s="20">
        <v>1</v>
      </c>
      <c r="C25" s="12">
        <f>0</f>
        <v>0</v>
      </c>
      <c r="D25" s="12">
        <f>0</f>
        <v>0</v>
      </c>
      <c r="E25" s="20">
        <v>0</v>
      </c>
      <c r="F25" s="20">
        <v>0</v>
      </c>
      <c r="G25" s="12">
        <f>E25+F25</f>
        <v>0</v>
      </c>
      <c r="H25" s="12">
        <v>0</v>
      </c>
      <c r="I25" s="12">
        <v>0</v>
      </c>
      <c r="J25" s="20">
        <v>88.45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179.92</v>
      </c>
      <c r="T25" s="20">
        <v>529.74</v>
      </c>
      <c r="U25" s="20">
        <v>0</v>
      </c>
      <c r="V25" s="20">
        <f>SUM(H25:U25)</f>
        <v>798.11</v>
      </c>
      <c r="W25" s="20">
        <f>G25+V25+D25</f>
        <v>798.11</v>
      </c>
      <c r="X25" s="20">
        <v>0</v>
      </c>
      <c r="Y25" s="20">
        <v>0</v>
      </c>
      <c r="Z25" s="20">
        <v>0</v>
      </c>
      <c r="AA25" s="20">
        <v>0</v>
      </c>
      <c r="AB25" s="20">
        <v>0</v>
      </c>
      <c r="AC25" s="20">
        <v>0</v>
      </c>
      <c r="AD25" s="20">
        <v>0</v>
      </c>
      <c r="AE25" s="20">
        <f>AD25</f>
        <v>0</v>
      </c>
      <c r="AF25" s="21">
        <f>AC25+AE25</f>
        <v>0</v>
      </c>
    </row>
    <row r="26" spans="1:32" ht="22.7" customHeight="1" thickBot="1" x14ac:dyDescent="0.3">
      <c r="A26" s="19" t="s">
        <v>57</v>
      </c>
      <c r="B26" s="20">
        <v>1</v>
      </c>
      <c r="C26" s="12">
        <f>0</f>
        <v>0</v>
      </c>
      <c r="D26" s="12">
        <f>0</f>
        <v>0</v>
      </c>
      <c r="E26" s="20">
        <v>0</v>
      </c>
      <c r="F26" s="20">
        <v>0</v>
      </c>
      <c r="G26" s="12">
        <f>E26+F26</f>
        <v>0</v>
      </c>
      <c r="H26" s="12">
        <v>0</v>
      </c>
      <c r="I26" s="12">
        <v>0</v>
      </c>
      <c r="J26" s="20">
        <v>187.62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  <c r="S26" s="20">
        <v>460.85</v>
      </c>
      <c r="T26" s="20">
        <v>445.84</v>
      </c>
      <c r="U26" s="20">
        <v>0</v>
      </c>
      <c r="V26" s="20">
        <f>SUM(H26:U26)</f>
        <v>1094.31</v>
      </c>
      <c r="W26" s="20">
        <f>G26+V26+D26</f>
        <v>1094.31</v>
      </c>
      <c r="X26" s="20">
        <v>0</v>
      </c>
      <c r="Y26" s="20">
        <v>0</v>
      </c>
      <c r="Z26" s="20">
        <v>0</v>
      </c>
      <c r="AA26" s="20">
        <v>0</v>
      </c>
      <c r="AB26" s="20">
        <v>0</v>
      </c>
      <c r="AC26" s="20">
        <v>0</v>
      </c>
      <c r="AD26" s="20">
        <v>0</v>
      </c>
      <c r="AE26" s="20">
        <f>AD26</f>
        <v>0</v>
      </c>
      <c r="AF26" s="21">
        <f>AC26+AE26</f>
        <v>0</v>
      </c>
    </row>
    <row r="27" spans="1:32" ht="22.7" customHeight="1" thickBot="1" x14ac:dyDescent="0.3">
      <c r="A27" s="19" t="s">
        <v>58</v>
      </c>
      <c r="B27" s="20">
        <v>1</v>
      </c>
      <c r="C27" s="12">
        <f>0</f>
        <v>0</v>
      </c>
      <c r="D27" s="12">
        <f>0</f>
        <v>0</v>
      </c>
      <c r="E27" s="20">
        <v>0</v>
      </c>
      <c r="F27" s="20">
        <v>0</v>
      </c>
      <c r="G27" s="12">
        <f>E27+F27</f>
        <v>0</v>
      </c>
      <c r="H27" s="12">
        <v>0</v>
      </c>
      <c r="I27" s="12">
        <v>0</v>
      </c>
      <c r="J27" s="20">
        <v>187.64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103.26</v>
      </c>
      <c r="R27" s="20">
        <v>0</v>
      </c>
      <c r="S27" s="20">
        <v>797.96</v>
      </c>
      <c r="T27" s="20">
        <v>0</v>
      </c>
      <c r="U27" s="20">
        <v>0</v>
      </c>
      <c r="V27" s="20">
        <f>SUM(H27:U27)</f>
        <v>1088.8600000000001</v>
      </c>
      <c r="W27" s="20">
        <f>G27+V27+D27</f>
        <v>1088.8600000000001</v>
      </c>
      <c r="X27" s="20">
        <v>0</v>
      </c>
      <c r="Y27" s="20">
        <v>0</v>
      </c>
      <c r="Z27" s="20">
        <v>0</v>
      </c>
      <c r="AA27" s="20">
        <v>0</v>
      </c>
      <c r="AB27" s="20">
        <v>0</v>
      </c>
      <c r="AC27" s="20">
        <v>0</v>
      </c>
      <c r="AD27" s="20">
        <v>0</v>
      </c>
      <c r="AE27" s="20">
        <f>AD27</f>
        <v>0</v>
      </c>
      <c r="AF27" s="21">
        <f>AC27+AE27</f>
        <v>0</v>
      </c>
    </row>
    <row r="28" spans="1:32" ht="22.7" customHeight="1" thickBot="1" x14ac:dyDescent="0.3">
      <c r="A28" s="19" t="s">
        <v>59</v>
      </c>
      <c r="B28" s="20">
        <v>1</v>
      </c>
      <c r="C28" s="12">
        <f>0</f>
        <v>0</v>
      </c>
      <c r="D28" s="12">
        <f>0</f>
        <v>0</v>
      </c>
      <c r="E28" s="20">
        <v>0</v>
      </c>
      <c r="F28" s="20">
        <v>0</v>
      </c>
      <c r="G28" s="12">
        <f>E28+F28</f>
        <v>0</v>
      </c>
      <c r="H28" s="12">
        <v>0</v>
      </c>
      <c r="I28" s="12">
        <v>0</v>
      </c>
      <c r="J28" s="20">
        <v>225.23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0">
        <v>514.38</v>
      </c>
      <c r="R28" s="20">
        <v>0</v>
      </c>
      <c r="S28" s="20">
        <v>1068.1600000000001</v>
      </c>
      <c r="T28" s="20">
        <v>0</v>
      </c>
      <c r="U28" s="20">
        <v>0</v>
      </c>
      <c r="V28" s="20">
        <f>SUM(H28:U28)</f>
        <v>1807.77</v>
      </c>
      <c r="W28" s="20">
        <f>G28+V28+D28</f>
        <v>1807.77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  <c r="AC28" s="20">
        <v>0</v>
      </c>
      <c r="AD28" s="20">
        <v>0</v>
      </c>
      <c r="AE28" s="20">
        <f>AD28</f>
        <v>0</v>
      </c>
      <c r="AF28" s="21">
        <f>AC28+AE28</f>
        <v>0</v>
      </c>
    </row>
    <row r="29" spans="1:32" ht="22.7" customHeight="1" thickBot="1" x14ac:dyDescent="0.3">
      <c r="A29" s="19" t="s">
        <v>60</v>
      </c>
      <c r="B29" s="20">
        <v>1</v>
      </c>
      <c r="C29" s="12">
        <f>0</f>
        <v>0</v>
      </c>
      <c r="D29" s="12">
        <f>0</f>
        <v>0</v>
      </c>
      <c r="E29" s="20">
        <v>0</v>
      </c>
      <c r="F29" s="20">
        <v>0</v>
      </c>
      <c r="G29" s="12">
        <f>E29+F29</f>
        <v>0</v>
      </c>
      <c r="H29" s="12">
        <v>0</v>
      </c>
      <c r="I29" s="12">
        <v>0</v>
      </c>
      <c r="J29" s="20">
        <v>95.93</v>
      </c>
      <c r="K29" s="20">
        <v>0</v>
      </c>
      <c r="L29" s="20">
        <v>0</v>
      </c>
      <c r="M29" s="20">
        <v>0</v>
      </c>
      <c r="N29" s="20">
        <v>0</v>
      </c>
      <c r="O29" s="20">
        <v>124.04</v>
      </c>
      <c r="P29" s="20">
        <v>0</v>
      </c>
      <c r="Q29" s="20">
        <v>0</v>
      </c>
      <c r="R29" s="20">
        <v>0</v>
      </c>
      <c r="S29" s="20">
        <v>138.88999999999999</v>
      </c>
      <c r="T29" s="20">
        <v>0</v>
      </c>
      <c r="U29" s="20">
        <v>0</v>
      </c>
      <c r="V29" s="20">
        <f>SUM(H29:U29)</f>
        <v>358.86</v>
      </c>
      <c r="W29" s="20">
        <f>G29+V29+D29</f>
        <v>358.86</v>
      </c>
      <c r="X29" s="20">
        <v>0</v>
      </c>
      <c r="Y29" s="20">
        <v>0</v>
      </c>
      <c r="Z29" s="20">
        <v>0</v>
      </c>
      <c r="AA29" s="20">
        <v>0</v>
      </c>
      <c r="AB29" s="20">
        <v>0</v>
      </c>
      <c r="AC29" s="20">
        <v>0</v>
      </c>
      <c r="AD29" s="20">
        <v>0</v>
      </c>
      <c r="AE29" s="20">
        <f>AD29</f>
        <v>0</v>
      </c>
      <c r="AF29" s="21">
        <f>AC29+AE29</f>
        <v>0</v>
      </c>
    </row>
    <row r="30" spans="1:32" ht="22.7" customHeight="1" thickBot="1" x14ac:dyDescent="0.3">
      <c r="A30" s="19" t="s">
        <v>61</v>
      </c>
      <c r="B30" s="20">
        <v>1</v>
      </c>
      <c r="C30" s="12">
        <f>0</f>
        <v>0</v>
      </c>
      <c r="D30" s="12">
        <f>0</f>
        <v>0</v>
      </c>
      <c r="E30" s="20">
        <v>0</v>
      </c>
      <c r="F30" s="20">
        <v>0</v>
      </c>
      <c r="G30" s="12">
        <f>E30+F30</f>
        <v>0</v>
      </c>
      <c r="H30" s="12">
        <v>0</v>
      </c>
      <c r="I30" s="12">
        <v>0</v>
      </c>
      <c r="J30" s="20">
        <v>95.93</v>
      </c>
      <c r="K30" s="20">
        <v>0</v>
      </c>
      <c r="L30" s="20">
        <v>0</v>
      </c>
      <c r="M30" s="20">
        <v>0</v>
      </c>
      <c r="N30" s="20">
        <v>0</v>
      </c>
      <c r="O30" s="20">
        <v>105.79</v>
      </c>
      <c r="P30" s="20">
        <v>0</v>
      </c>
      <c r="Q30" s="20">
        <v>0</v>
      </c>
      <c r="R30" s="20">
        <v>0</v>
      </c>
      <c r="S30" s="20">
        <v>157.83000000000001</v>
      </c>
      <c r="T30" s="20">
        <v>0</v>
      </c>
      <c r="U30" s="20">
        <v>0</v>
      </c>
      <c r="V30" s="20">
        <f>SUM(H30:U30)</f>
        <v>359.55000000000007</v>
      </c>
      <c r="W30" s="20">
        <f>G30+V30+D30</f>
        <v>359.55000000000007</v>
      </c>
      <c r="X30" s="20">
        <v>0</v>
      </c>
      <c r="Y30" s="20">
        <v>0</v>
      </c>
      <c r="Z30" s="20">
        <v>0</v>
      </c>
      <c r="AA30" s="20">
        <v>0</v>
      </c>
      <c r="AB30" s="20">
        <v>0</v>
      </c>
      <c r="AC30" s="20">
        <v>0</v>
      </c>
      <c r="AD30" s="20">
        <v>0</v>
      </c>
      <c r="AE30" s="20">
        <f>AD30</f>
        <v>0</v>
      </c>
      <c r="AF30" s="21">
        <f>AC30+AE30</f>
        <v>0</v>
      </c>
    </row>
    <row r="31" spans="1:32" ht="22.7" customHeight="1" thickBot="1" x14ac:dyDescent="0.3">
      <c r="A31" s="19" t="s">
        <v>62</v>
      </c>
      <c r="B31" s="20">
        <v>1</v>
      </c>
      <c r="C31" s="12">
        <f>0</f>
        <v>0</v>
      </c>
      <c r="D31" s="12">
        <f>0</f>
        <v>0</v>
      </c>
      <c r="E31" s="20">
        <v>0</v>
      </c>
      <c r="F31" s="20">
        <v>0</v>
      </c>
      <c r="G31" s="12">
        <f>E31+F31</f>
        <v>0</v>
      </c>
      <c r="H31" s="12">
        <v>0</v>
      </c>
      <c r="I31" s="12">
        <v>0</v>
      </c>
      <c r="J31" s="20">
        <v>109.63</v>
      </c>
      <c r="K31" s="20">
        <v>0</v>
      </c>
      <c r="L31" s="20">
        <v>0</v>
      </c>
      <c r="M31" s="20">
        <v>0</v>
      </c>
      <c r="N31" s="20">
        <v>0</v>
      </c>
      <c r="O31" s="20">
        <v>113.19</v>
      </c>
      <c r="P31" s="20">
        <v>0</v>
      </c>
      <c r="Q31" s="20">
        <v>0</v>
      </c>
      <c r="R31" s="20">
        <v>0</v>
      </c>
      <c r="S31" s="20">
        <v>151.51</v>
      </c>
      <c r="T31" s="20">
        <v>0</v>
      </c>
      <c r="U31" s="20">
        <v>0</v>
      </c>
      <c r="V31" s="20">
        <f>SUM(H31:U31)</f>
        <v>374.33</v>
      </c>
      <c r="W31" s="20">
        <f>G31+V31+D31</f>
        <v>374.33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f>AD31</f>
        <v>0</v>
      </c>
      <c r="AF31" s="21">
        <f>AC31+AE31</f>
        <v>0</v>
      </c>
    </row>
    <row r="32" spans="1:32" ht="22.7" customHeight="1" thickBot="1" x14ac:dyDescent="0.3">
      <c r="A32" s="19" t="s">
        <v>63</v>
      </c>
      <c r="B32" s="20">
        <v>1</v>
      </c>
      <c r="C32" s="12">
        <f>0</f>
        <v>0</v>
      </c>
      <c r="D32" s="12">
        <f>0</f>
        <v>0</v>
      </c>
      <c r="E32" s="20">
        <v>0</v>
      </c>
      <c r="F32" s="20">
        <v>0</v>
      </c>
      <c r="G32" s="12">
        <f>E32+F32</f>
        <v>0</v>
      </c>
      <c r="H32" s="12">
        <v>0</v>
      </c>
      <c r="I32" s="12">
        <v>0</v>
      </c>
      <c r="J32" s="20">
        <v>74.02</v>
      </c>
      <c r="K32" s="20">
        <v>0</v>
      </c>
      <c r="L32" s="20">
        <v>0</v>
      </c>
      <c r="M32" s="20">
        <v>0</v>
      </c>
      <c r="N32" s="20">
        <v>0</v>
      </c>
      <c r="O32" s="20">
        <v>113.19</v>
      </c>
      <c r="P32" s="20">
        <v>0</v>
      </c>
      <c r="Q32" s="20">
        <v>54.71</v>
      </c>
      <c r="R32" s="20">
        <v>0</v>
      </c>
      <c r="S32" s="20">
        <v>161.61000000000001</v>
      </c>
      <c r="T32" s="20">
        <v>0</v>
      </c>
      <c r="U32" s="20">
        <v>0</v>
      </c>
      <c r="V32" s="20">
        <f>SUM(H32:U32)</f>
        <v>403.53</v>
      </c>
      <c r="W32" s="20">
        <f>G32+V32+D32</f>
        <v>403.53</v>
      </c>
      <c r="X32" s="20">
        <v>0</v>
      </c>
      <c r="Y32" s="20">
        <v>0</v>
      </c>
      <c r="Z32" s="20">
        <v>0</v>
      </c>
      <c r="AA32" s="20">
        <v>0</v>
      </c>
      <c r="AB32" s="20">
        <v>0</v>
      </c>
      <c r="AC32" s="20">
        <v>0</v>
      </c>
      <c r="AD32" s="20">
        <v>0</v>
      </c>
      <c r="AE32" s="20">
        <f>AD32</f>
        <v>0</v>
      </c>
      <c r="AF32" s="21">
        <f>AC32+AE32</f>
        <v>0</v>
      </c>
    </row>
    <row r="33" spans="1:32" ht="22.7" customHeight="1" thickBot="1" x14ac:dyDescent="0.3">
      <c r="A33" s="19" t="s">
        <v>64</v>
      </c>
      <c r="B33" s="20">
        <v>1</v>
      </c>
      <c r="C33" s="12">
        <f>0</f>
        <v>0</v>
      </c>
      <c r="D33" s="12">
        <f>0</f>
        <v>0</v>
      </c>
      <c r="E33" s="20">
        <v>0</v>
      </c>
      <c r="F33" s="20">
        <v>0</v>
      </c>
      <c r="G33" s="12">
        <f>E33+F33</f>
        <v>0</v>
      </c>
      <c r="H33" s="12">
        <v>0</v>
      </c>
      <c r="I33" s="12">
        <v>0</v>
      </c>
      <c r="J33" s="20">
        <v>74.02</v>
      </c>
      <c r="K33" s="20">
        <v>0</v>
      </c>
      <c r="L33" s="20">
        <v>0</v>
      </c>
      <c r="M33" s="20">
        <v>0</v>
      </c>
      <c r="N33" s="20">
        <v>0</v>
      </c>
      <c r="O33" s="20">
        <v>113.19</v>
      </c>
      <c r="P33" s="20">
        <v>0</v>
      </c>
      <c r="Q33" s="20">
        <v>54.71</v>
      </c>
      <c r="R33" s="20">
        <v>0</v>
      </c>
      <c r="S33" s="20">
        <v>161.61000000000001</v>
      </c>
      <c r="T33" s="20">
        <v>0</v>
      </c>
      <c r="U33" s="20">
        <v>0</v>
      </c>
      <c r="V33" s="20">
        <f>SUM(H33:U33)</f>
        <v>403.53</v>
      </c>
      <c r="W33" s="20">
        <f>G33+V33+D33</f>
        <v>403.53</v>
      </c>
      <c r="X33" s="20">
        <v>0</v>
      </c>
      <c r="Y33" s="20">
        <v>0</v>
      </c>
      <c r="Z33" s="20">
        <v>0</v>
      </c>
      <c r="AA33" s="20">
        <v>0</v>
      </c>
      <c r="AB33" s="20">
        <v>0</v>
      </c>
      <c r="AC33" s="20">
        <v>0</v>
      </c>
      <c r="AD33" s="20">
        <v>0</v>
      </c>
      <c r="AE33" s="20">
        <f>AD33</f>
        <v>0</v>
      </c>
      <c r="AF33" s="21">
        <f>AC33+AE33</f>
        <v>0</v>
      </c>
    </row>
    <row r="34" spans="1:32" ht="22.7" customHeight="1" thickBot="1" x14ac:dyDescent="0.3">
      <c r="A34" s="19" t="s">
        <v>65</v>
      </c>
      <c r="B34" s="20">
        <v>1</v>
      </c>
      <c r="C34" s="12">
        <f>0</f>
        <v>0</v>
      </c>
      <c r="D34" s="12">
        <f>0</f>
        <v>0</v>
      </c>
      <c r="E34" s="20">
        <v>0</v>
      </c>
      <c r="F34" s="20">
        <v>0</v>
      </c>
      <c r="G34" s="12">
        <f>E34+F34</f>
        <v>0</v>
      </c>
      <c r="H34" s="12">
        <v>0</v>
      </c>
      <c r="I34" s="12">
        <v>0</v>
      </c>
      <c r="J34" s="20">
        <v>106.89</v>
      </c>
      <c r="K34" s="20">
        <v>0</v>
      </c>
      <c r="L34" s="20">
        <v>0</v>
      </c>
      <c r="M34" s="20">
        <v>0</v>
      </c>
      <c r="N34" s="20">
        <v>0</v>
      </c>
      <c r="O34" s="20">
        <v>105.79</v>
      </c>
      <c r="P34" s="20">
        <v>0</v>
      </c>
      <c r="Q34" s="20">
        <v>0</v>
      </c>
      <c r="R34" s="20">
        <v>0</v>
      </c>
      <c r="S34" s="20">
        <v>157.83000000000001</v>
      </c>
      <c r="T34" s="20">
        <v>0</v>
      </c>
      <c r="U34" s="20">
        <v>0</v>
      </c>
      <c r="V34" s="20">
        <f>SUM(H34:U34)</f>
        <v>370.51</v>
      </c>
      <c r="W34" s="20">
        <f>G34+V34+D34</f>
        <v>370.51</v>
      </c>
      <c r="X34" s="20">
        <v>0</v>
      </c>
      <c r="Y34" s="20">
        <v>0</v>
      </c>
      <c r="Z34" s="20">
        <v>0</v>
      </c>
      <c r="AA34" s="20">
        <v>0</v>
      </c>
      <c r="AB34" s="20">
        <v>0</v>
      </c>
      <c r="AC34" s="20">
        <v>0</v>
      </c>
      <c r="AD34" s="20">
        <v>0</v>
      </c>
      <c r="AE34" s="20">
        <f>AD34</f>
        <v>0</v>
      </c>
      <c r="AF34" s="21">
        <f>AC34+AE34</f>
        <v>0</v>
      </c>
    </row>
    <row r="35" spans="1:32" ht="22.7" customHeight="1" thickBot="1" x14ac:dyDescent="0.3">
      <c r="A35" s="19" t="s">
        <v>66</v>
      </c>
      <c r="B35" s="20">
        <v>1</v>
      </c>
      <c r="C35" s="12">
        <f>0</f>
        <v>0</v>
      </c>
      <c r="D35" s="12">
        <f>0</f>
        <v>0</v>
      </c>
      <c r="E35" s="20">
        <v>0</v>
      </c>
      <c r="F35" s="20">
        <v>0</v>
      </c>
      <c r="G35" s="12">
        <f>E35+F35</f>
        <v>0</v>
      </c>
      <c r="H35" s="12">
        <v>0</v>
      </c>
      <c r="I35" s="12">
        <v>0</v>
      </c>
      <c r="J35" s="20">
        <v>109.63</v>
      </c>
      <c r="K35" s="20">
        <v>0</v>
      </c>
      <c r="L35" s="20">
        <v>0</v>
      </c>
      <c r="M35" s="20">
        <v>0</v>
      </c>
      <c r="N35" s="20">
        <v>0</v>
      </c>
      <c r="O35" s="20">
        <v>113.19</v>
      </c>
      <c r="P35" s="20">
        <v>0</v>
      </c>
      <c r="Q35" s="20">
        <v>0</v>
      </c>
      <c r="R35" s="20">
        <v>0</v>
      </c>
      <c r="S35" s="20">
        <v>161.61000000000001</v>
      </c>
      <c r="T35" s="20">
        <v>0</v>
      </c>
      <c r="U35" s="20">
        <v>0</v>
      </c>
      <c r="V35" s="20">
        <f>SUM(H35:U35)</f>
        <v>384.43</v>
      </c>
      <c r="W35" s="20">
        <f>G35+V35+D35</f>
        <v>384.43</v>
      </c>
      <c r="X35" s="20">
        <v>0</v>
      </c>
      <c r="Y35" s="20">
        <v>0</v>
      </c>
      <c r="Z35" s="20">
        <v>0</v>
      </c>
      <c r="AA35" s="20">
        <v>0</v>
      </c>
      <c r="AB35" s="20">
        <v>0</v>
      </c>
      <c r="AC35" s="20">
        <v>0</v>
      </c>
      <c r="AD35" s="20">
        <v>0</v>
      </c>
      <c r="AE35" s="20">
        <f>AD35</f>
        <v>0</v>
      </c>
      <c r="AF35" s="21">
        <f>AC35+AE35</f>
        <v>0</v>
      </c>
    </row>
    <row r="36" spans="1:32" ht="22.7" customHeight="1" thickBot="1" x14ac:dyDescent="0.3">
      <c r="A36" s="19" t="s">
        <v>67</v>
      </c>
      <c r="B36" s="20">
        <v>1</v>
      </c>
      <c r="C36" s="12">
        <f>0</f>
        <v>0</v>
      </c>
      <c r="D36" s="12">
        <f>0</f>
        <v>0</v>
      </c>
      <c r="E36" s="20">
        <v>0</v>
      </c>
      <c r="F36" s="20">
        <v>0</v>
      </c>
      <c r="G36" s="12">
        <f>E36+F36</f>
        <v>0</v>
      </c>
      <c r="H36" s="12">
        <v>0</v>
      </c>
      <c r="I36" s="12">
        <v>0</v>
      </c>
      <c r="J36" s="20">
        <v>74.02</v>
      </c>
      <c r="K36" s="20">
        <v>0</v>
      </c>
      <c r="L36" s="20">
        <v>0</v>
      </c>
      <c r="M36" s="20">
        <v>0</v>
      </c>
      <c r="N36" s="20">
        <v>0</v>
      </c>
      <c r="O36" s="20">
        <v>0</v>
      </c>
      <c r="P36" s="20">
        <v>0</v>
      </c>
      <c r="Q36" s="20">
        <v>235.8</v>
      </c>
      <c r="R36" s="20">
        <v>0</v>
      </c>
      <c r="S36" s="20">
        <v>161.61000000000001</v>
      </c>
      <c r="T36" s="20">
        <v>0</v>
      </c>
      <c r="U36" s="20">
        <v>0</v>
      </c>
      <c r="V36" s="20">
        <f>SUM(H36:U36)</f>
        <v>471.43</v>
      </c>
      <c r="W36" s="20">
        <f>G36+V36+D36</f>
        <v>471.43</v>
      </c>
      <c r="X36" s="20">
        <v>0</v>
      </c>
      <c r="Y36" s="20">
        <v>0</v>
      </c>
      <c r="Z36" s="20">
        <v>0</v>
      </c>
      <c r="AA36" s="20">
        <v>0</v>
      </c>
      <c r="AB36" s="20">
        <v>0</v>
      </c>
      <c r="AC36" s="20">
        <v>0</v>
      </c>
      <c r="AD36" s="20">
        <v>0</v>
      </c>
      <c r="AE36" s="20">
        <f>AD36</f>
        <v>0</v>
      </c>
      <c r="AF36" s="21">
        <f>AC36+AE36</f>
        <v>0</v>
      </c>
    </row>
    <row r="37" spans="1:32" ht="22.7" customHeight="1" thickBot="1" x14ac:dyDescent="0.3">
      <c r="A37" s="19" t="s">
        <v>68</v>
      </c>
      <c r="B37" s="20">
        <v>1</v>
      </c>
      <c r="C37" s="12">
        <f>0</f>
        <v>0</v>
      </c>
      <c r="D37" s="12">
        <f>0</f>
        <v>0</v>
      </c>
      <c r="E37" s="20">
        <v>0</v>
      </c>
      <c r="F37" s="20">
        <v>0</v>
      </c>
      <c r="G37" s="12">
        <f>E37+F37</f>
        <v>0</v>
      </c>
      <c r="H37" s="12">
        <v>0</v>
      </c>
      <c r="I37" s="12">
        <v>0</v>
      </c>
      <c r="J37" s="20">
        <v>95.88</v>
      </c>
      <c r="K37" s="20">
        <v>0</v>
      </c>
      <c r="L37" s="20">
        <v>0</v>
      </c>
      <c r="M37" s="20">
        <v>0</v>
      </c>
      <c r="N37" s="20">
        <v>0</v>
      </c>
      <c r="O37" s="20">
        <v>105.79</v>
      </c>
      <c r="P37" s="20">
        <v>0</v>
      </c>
      <c r="Q37" s="20">
        <v>288.98</v>
      </c>
      <c r="R37" s="20">
        <v>0</v>
      </c>
      <c r="S37" s="20">
        <v>0</v>
      </c>
      <c r="T37" s="20">
        <v>0</v>
      </c>
      <c r="U37" s="20">
        <v>0</v>
      </c>
      <c r="V37" s="20">
        <f>SUM(H37:U37)</f>
        <v>490.65000000000003</v>
      </c>
      <c r="W37" s="20">
        <f>G37+V37+D37</f>
        <v>490.65000000000003</v>
      </c>
      <c r="X37" s="20">
        <v>0</v>
      </c>
      <c r="Y37" s="20">
        <v>0</v>
      </c>
      <c r="Z37" s="20">
        <v>0</v>
      </c>
      <c r="AA37" s="20">
        <v>0</v>
      </c>
      <c r="AB37" s="20">
        <v>0</v>
      </c>
      <c r="AC37" s="20">
        <v>0</v>
      </c>
      <c r="AD37" s="20">
        <v>0</v>
      </c>
      <c r="AE37" s="20">
        <f>AD37</f>
        <v>0</v>
      </c>
      <c r="AF37" s="21">
        <f>AC37+AE37</f>
        <v>0</v>
      </c>
    </row>
    <row r="38" spans="1:32" ht="22.7" customHeight="1" thickBot="1" x14ac:dyDescent="0.3">
      <c r="A38" s="19" t="s">
        <v>69</v>
      </c>
      <c r="B38" s="20">
        <v>1</v>
      </c>
      <c r="C38" s="12">
        <f>0</f>
        <v>0</v>
      </c>
      <c r="D38" s="12">
        <f>0</f>
        <v>0</v>
      </c>
      <c r="E38" s="20">
        <v>0</v>
      </c>
      <c r="F38" s="20">
        <v>0</v>
      </c>
      <c r="G38" s="12">
        <f>E38+F38</f>
        <v>0</v>
      </c>
      <c r="H38" s="12">
        <v>0</v>
      </c>
      <c r="I38" s="12">
        <v>0</v>
      </c>
      <c r="J38" s="20">
        <v>479.41</v>
      </c>
      <c r="K38" s="20">
        <v>0</v>
      </c>
      <c r="L38" s="20">
        <v>0</v>
      </c>
      <c r="M38" s="20">
        <v>0</v>
      </c>
      <c r="N38" s="20">
        <v>0</v>
      </c>
      <c r="O38" s="20">
        <v>528.96</v>
      </c>
      <c r="P38" s="20">
        <v>0</v>
      </c>
      <c r="Q38" s="20">
        <v>577.95000000000005</v>
      </c>
      <c r="R38" s="20">
        <v>0</v>
      </c>
      <c r="S38" s="20">
        <v>0</v>
      </c>
      <c r="T38" s="20">
        <v>0</v>
      </c>
      <c r="U38" s="20">
        <v>0</v>
      </c>
      <c r="V38" s="20">
        <f>SUM(H38:U38)</f>
        <v>1586.3200000000002</v>
      </c>
      <c r="W38" s="20">
        <f>G38+V38+D38</f>
        <v>1586.3200000000002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f>AD38</f>
        <v>0</v>
      </c>
      <c r="AF38" s="21">
        <f>AC38+AE38</f>
        <v>0</v>
      </c>
    </row>
    <row r="39" spans="1:32" ht="22.7" customHeight="1" thickBot="1" x14ac:dyDescent="0.3">
      <c r="A39" s="19" t="s">
        <v>70</v>
      </c>
      <c r="B39" s="20">
        <v>1</v>
      </c>
      <c r="C39" s="12">
        <f>0</f>
        <v>0</v>
      </c>
      <c r="D39" s="12">
        <f>0</f>
        <v>0</v>
      </c>
      <c r="E39" s="20">
        <v>0</v>
      </c>
      <c r="F39" s="20">
        <v>0</v>
      </c>
      <c r="G39" s="12">
        <f>E39+F39</f>
        <v>0</v>
      </c>
      <c r="H39" s="12">
        <v>0</v>
      </c>
      <c r="I39" s="12">
        <v>0</v>
      </c>
      <c r="J39" s="20">
        <v>213.68</v>
      </c>
      <c r="K39" s="20">
        <v>0</v>
      </c>
      <c r="L39" s="20">
        <v>0</v>
      </c>
      <c r="M39" s="20">
        <v>0</v>
      </c>
      <c r="N39" s="20">
        <v>0</v>
      </c>
      <c r="O39" s="20">
        <v>211.58</v>
      </c>
      <c r="P39" s="20">
        <v>0</v>
      </c>
      <c r="Q39" s="20">
        <v>231.18</v>
      </c>
      <c r="R39" s="20">
        <v>0</v>
      </c>
      <c r="S39" s="20">
        <v>0</v>
      </c>
      <c r="T39" s="20">
        <v>0</v>
      </c>
      <c r="U39" s="20">
        <v>0</v>
      </c>
      <c r="V39" s="20">
        <f>SUM(H39:U39)</f>
        <v>656.44</v>
      </c>
      <c r="W39" s="20">
        <f>G39+V39+D39</f>
        <v>656.44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f>AD39</f>
        <v>0</v>
      </c>
      <c r="AF39" s="21">
        <f>AC39+AE39</f>
        <v>0</v>
      </c>
    </row>
    <row r="40" spans="1:32" ht="22.7" customHeight="1" thickBot="1" x14ac:dyDescent="0.3">
      <c r="A40" s="19" t="s">
        <v>71</v>
      </c>
      <c r="B40" s="20">
        <v>1</v>
      </c>
      <c r="C40" s="12">
        <f>0</f>
        <v>0</v>
      </c>
      <c r="D40" s="12">
        <f>0</f>
        <v>0</v>
      </c>
      <c r="E40" s="20">
        <v>0</v>
      </c>
      <c r="F40" s="20">
        <v>0</v>
      </c>
      <c r="G40" s="12">
        <f>E40+F40</f>
        <v>0</v>
      </c>
      <c r="H40" s="12">
        <v>0</v>
      </c>
      <c r="I40" s="12">
        <v>0</v>
      </c>
      <c r="J40" s="20">
        <v>224.64</v>
      </c>
      <c r="K40" s="20">
        <v>0</v>
      </c>
      <c r="L40" s="20">
        <v>0</v>
      </c>
      <c r="M40" s="20">
        <v>0</v>
      </c>
      <c r="N40" s="20">
        <v>0</v>
      </c>
      <c r="O40" s="20">
        <v>226.38</v>
      </c>
      <c r="P40" s="20">
        <v>0</v>
      </c>
      <c r="Q40" s="20">
        <v>246.59</v>
      </c>
      <c r="R40" s="20">
        <v>0</v>
      </c>
      <c r="S40" s="20">
        <v>0</v>
      </c>
      <c r="T40" s="20">
        <v>0</v>
      </c>
      <c r="U40" s="20">
        <v>0</v>
      </c>
      <c r="V40" s="20">
        <f>SUM(H40:U40)</f>
        <v>697.61</v>
      </c>
      <c r="W40" s="20">
        <f>G40+V40+D40</f>
        <v>697.61</v>
      </c>
      <c r="X40" s="20">
        <v>0</v>
      </c>
      <c r="Y40" s="20">
        <v>0</v>
      </c>
      <c r="Z40" s="20">
        <v>0</v>
      </c>
      <c r="AA40" s="20">
        <v>0</v>
      </c>
      <c r="AB40" s="20">
        <v>0</v>
      </c>
      <c r="AC40" s="20">
        <v>0</v>
      </c>
      <c r="AD40" s="20">
        <v>0</v>
      </c>
      <c r="AE40" s="20">
        <f>AD40</f>
        <v>0</v>
      </c>
      <c r="AF40" s="21">
        <f>AC40+AE40</f>
        <v>0</v>
      </c>
    </row>
    <row r="41" spans="1:32" ht="22.7" customHeight="1" thickBot="1" x14ac:dyDescent="0.3">
      <c r="A41" s="19" t="s">
        <v>72</v>
      </c>
      <c r="B41" s="20">
        <v>1</v>
      </c>
      <c r="C41" s="12">
        <f>0</f>
        <v>0</v>
      </c>
      <c r="D41" s="12">
        <f>0</f>
        <v>0</v>
      </c>
      <c r="E41" s="20">
        <v>0</v>
      </c>
      <c r="F41" s="20">
        <v>0</v>
      </c>
      <c r="G41" s="12">
        <f>E41+F41</f>
        <v>0</v>
      </c>
      <c r="H41" s="12">
        <v>0</v>
      </c>
      <c r="I41" s="12">
        <v>0</v>
      </c>
      <c r="J41" s="20">
        <v>641.04</v>
      </c>
      <c r="K41" s="20">
        <v>0</v>
      </c>
      <c r="L41" s="20">
        <v>0</v>
      </c>
      <c r="M41" s="20">
        <v>0</v>
      </c>
      <c r="N41" s="20">
        <v>0</v>
      </c>
      <c r="O41" s="20">
        <v>679.14</v>
      </c>
      <c r="P41" s="20">
        <v>0</v>
      </c>
      <c r="Q41" s="20">
        <v>739.78</v>
      </c>
      <c r="R41" s="20">
        <v>0</v>
      </c>
      <c r="S41" s="20">
        <v>0</v>
      </c>
      <c r="T41" s="20">
        <v>0</v>
      </c>
      <c r="U41" s="20">
        <v>0</v>
      </c>
      <c r="V41" s="20">
        <f>SUM(H41:U41)</f>
        <v>2059.96</v>
      </c>
      <c r="W41" s="20">
        <f>G41+V41+D41</f>
        <v>2059.96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f>AD41</f>
        <v>0</v>
      </c>
      <c r="AF41" s="21">
        <f>AC41+AE41</f>
        <v>0</v>
      </c>
    </row>
    <row r="42" spans="1:32" ht="22.7" customHeight="1" thickBot="1" x14ac:dyDescent="0.3">
      <c r="A42" s="19" t="s">
        <v>73</v>
      </c>
      <c r="B42" s="20">
        <v>1</v>
      </c>
      <c r="C42" s="12">
        <f>0</f>
        <v>0</v>
      </c>
      <c r="D42" s="12">
        <f>0</f>
        <v>0</v>
      </c>
      <c r="E42" s="20">
        <v>0</v>
      </c>
      <c r="F42" s="20">
        <v>0</v>
      </c>
      <c r="G42" s="12">
        <f>E42+F42</f>
        <v>0</v>
      </c>
      <c r="H42" s="12">
        <v>0</v>
      </c>
      <c r="I42" s="12">
        <v>0</v>
      </c>
      <c r="J42" s="20">
        <v>79.44</v>
      </c>
      <c r="K42" s="20">
        <v>0</v>
      </c>
      <c r="L42" s="20">
        <v>0</v>
      </c>
      <c r="M42" s="20">
        <v>0</v>
      </c>
      <c r="N42" s="20">
        <v>0</v>
      </c>
      <c r="O42" s="20">
        <v>113.19</v>
      </c>
      <c r="P42" s="20">
        <v>0</v>
      </c>
      <c r="Q42" s="20">
        <v>123.3</v>
      </c>
      <c r="R42" s="20">
        <v>0</v>
      </c>
      <c r="S42" s="20">
        <v>0</v>
      </c>
      <c r="T42" s="20">
        <v>0</v>
      </c>
      <c r="U42" s="20">
        <v>0</v>
      </c>
      <c r="V42" s="20">
        <f>SUM(H42:U42)</f>
        <v>315.93</v>
      </c>
      <c r="W42" s="20">
        <f>G42+V42+D42</f>
        <v>315.93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f>AD42</f>
        <v>0</v>
      </c>
      <c r="AF42" s="21">
        <f>AC42+AE42</f>
        <v>0</v>
      </c>
    </row>
    <row r="43" spans="1:32" ht="22.7" customHeight="1" thickBot="1" x14ac:dyDescent="0.3">
      <c r="A43" s="19" t="s">
        <v>74</v>
      </c>
      <c r="B43" s="20">
        <v>1</v>
      </c>
      <c r="C43" s="12">
        <f>0</f>
        <v>0</v>
      </c>
      <c r="D43" s="12">
        <f>0</f>
        <v>0</v>
      </c>
      <c r="E43" s="20">
        <v>0</v>
      </c>
      <c r="F43" s="20">
        <v>0</v>
      </c>
      <c r="G43" s="12">
        <f>E43+F43</f>
        <v>0</v>
      </c>
      <c r="H43" s="12">
        <v>0</v>
      </c>
      <c r="I43" s="12">
        <v>0</v>
      </c>
      <c r="J43" s="20">
        <v>143.77000000000001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311.23</v>
      </c>
      <c r="T43" s="20">
        <v>0</v>
      </c>
      <c r="U43" s="20">
        <v>0</v>
      </c>
      <c r="V43" s="20">
        <f>SUM(H43:U43)</f>
        <v>455</v>
      </c>
      <c r="W43" s="20">
        <f>G43+V43+D43</f>
        <v>455</v>
      </c>
      <c r="X43" s="20">
        <v>0</v>
      </c>
      <c r="Y43" s="20">
        <v>0</v>
      </c>
      <c r="Z43" s="20">
        <v>0</v>
      </c>
      <c r="AA43" s="20">
        <v>0</v>
      </c>
      <c r="AB43" s="20">
        <v>0</v>
      </c>
      <c r="AC43" s="20">
        <v>0</v>
      </c>
      <c r="AD43" s="20">
        <v>0</v>
      </c>
      <c r="AE43" s="20">
        <f>AD43</f>
        <v>0</v>
      </c>
      <c r="AF43" s="21">
        <f>AC43+AE43</f>
        <v>0</v>
      </c>
    </row>
    <row r="44" spans="1:32" ht="22.7" customHeight="1" thickBot="1" x14ac:dyDescent="0.3">
      <c r="A44" s="19" t="s">
        <v>75</v>
      </c>
      <c r="B44" s="20">
        <v>1</v>
      </c>
      <c r="C44" s="12">
        <f>0</f>
        <v>0</v>
      </c>
      <c r="D44" s="12">
        <f>0</f>
        <v>0</v>
      </c>
      <c r="E44" s="20">
        <v>0</v>
      </c>
      <c r="F44" s="20">
        <v>0</v>
      </c>
      <c r="G44" s="12">
        <f>E44+F44</f>
        <v>0</v>
      </c>
      <c r="H44" s="12">
        <v>0</v>
      </c>
      <c r="I44" s="12">
        <v>0</v>
      </c>
      <c r="J44" s="20">
        <v>153.04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S44" s="20">
        <v>551.25</v>
      </c>
      <c r="T44" s="20">
        <v>0</v>
      </c>
      <c r="U44" s="20">
        <v>0</v>
      </c>
      <c r="V44" s="20">
        <f>SUM(H44:U44)</f>
        <v>704.29</v>
      </c>
      <c r="W44" s="20">
        <f>G44+V44+D44</f>
        <v>704.29</v>
      </c>
      <c r="X44" s="20">
        <v>0</v>
      </c>
      <c r="Y44" s="20">
        <v>0</v>
      </c>
      <c r="Z44" s="20">
        <v>0</v>
      </c>
      <c r="AA44" s="20">
        <v>0</v>
      </c>
      <c r="AB44" s="20">
        <v>0</v>
      </c>
      <c r="AC44" s="20">
        <v>0</v>
      </c>
      <c r="AD44" s="20">
        <v>0</v>
      </c>
      <c r="AE44" s="20">
        <f>AD44</f>
        <v>0</v>
      </c>
      <c r="AF44" s="21">
        <f>AC44+AE44</f>
        <v>0</v>
      </c>
    </row>
    <row r="45" spans="1:32" ht="22.7" customHeight="1" thickBot="1" x14ac:dyDescent="0.3">
      <c r="A45" s="19" t="s">
        <v>76</v>
      </c>
      <c r="B45" s="20">
        <v>1</v>
      </c>
      <c r="C45" s="12">
        <f>0</f>
        <v>0</v>
      </c>
      <c r="D45" s="12">
        <f>0</f>
        <v>0</v>
      </c>
      <c r="E45" s="20">
        <v>0</v>
      </c>
      <c r="F45" s="20">
        <v>0</v>
      </c>
      <c r="G45" s="12">
        <f>E45+F45</f>
        <v>0</v>
      </c>
      <c r="H45" s="12">
        <v>0</v>
      </c>
      <c r="I45" s="12">
        <v>0</v>
      </c>
      <c r="J45" s="20">
        <v>158.03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S45" s="20">
        <v>0</v>
      </c>
      <c r="T45" s="20">
        <v>703.12</v>
      </c>
      <c r="U45" s="20">
        <v>0</v>
      </c>
      <c r="V45" s="20">
        <f>SUM(H45:U45)</f>
        <v>861.15</v>
      </c>
      <c r="W45" s="20">
        <f>G45+V45+D45</f>
        <v>861.15</v>
      </c>
      <c r="X45" s="20">
        <v>0</v>
      </c>
      <c r="Y45" s="20">
        <v>0</v>
      </c>
      <c r="Z45" s="20">
        <v>0</v>
      </c>
      <c r="AA45" s="20">
        <v>0</v>
      </c>
      <c r="AB45" s="20">
        <v>0</v>
      </c>
      <c r="AC45" s="20">
        <v>0</v>
      </c>
      <c r="AD45" s="20">
        <v>0</v>
      </c>
      <c r="AE45" s="20">
        <f>AD45</f>
        <v>0</v>
      </c>
      <c r="AF45" s="21">
        <f>AC45+AE45</f>
        <v>0</v>
      </c>
    </row>
    <row r="46" spans="1:32" ht="22.7" customHeight="1" thickBot="1" x14ac:dyDescent="0.3">
      <c r="A46" s="9" t="s">
        <v>77</v>
      </c>
      <c r="B46" s="22">
        <v>1</v>
      </c>
      <c r="C46" s="22">
        <v>1775.86</v>
      </c>
      <c r="D46" s="23">
        <f>C46</f>
        <v>1775.86</v>
      </c>
      <c r="E46" s="23">
        <v>0</v>
      </c>
      <c r="F46" s="23">
        <v>0</v>
      </c>
      <c r="G46" s="23">
        <v>0</v>
      </c>
      <c r="H46" s="22">
        <v>0</v>
      </c>
      <c r="I46" s="23">
        <v>0</v>
      </c>
      <c r="J46" s="23">
        <v>0</v>
      </c>
      <c r="K46" s="22">
        <v>936.81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2">
        <v>0</v>
      </c>
      <c r="R46" s="22">
        <v>0</v>
      </c>
      <c r="S46" s="22">
        <v>0</v>
      </c>
      <c r="T46" s="23">
        <v>0</v>
      </c>
      <c r="U46" s="23">
        <v>0</v>
      </c>
      <c r="V46" s="23">
        <v>936.81</v>
      </c>
      <c r="W46" s="23">
        <f>V46+G46+D46</f>
        <v>2712.67</v>
      </c>
      <c r="X46" s="23">
        <v>0</v>
      </c>
      <c r="Y46" s="23">
        <v>0</v>
      </c>
      <c r="Z46" s="23">
        <v>0</v>
      </c>
      <c r="AA46" s="23">
        <v>0</v>
      </c>
      <c r="AB46" s="23">
        <v>0</v>
      </c>
      <c r="AC46" s="23">
        <v>0</v>
      </c>
      <c r="AD46" s="23">
        <v>0</v>
      </c>
      <c r="AE46" s="23">
        <f>AD46</f>
        <v>0</v>
      </c>
      <c r="AF46" s="24">
        <f>AE46+AC46</f>
        <v>0</v>
      </c>
    </row>
    <row r="47" spans="1:32" ht="22.7" customHeight="1" thickBot="1" x14ac:dyDescent="0.3">
      <c r="A47" s="25" t="s">
        <v>17</v>
      </c>
      <c r="B47" s="26"/>
      <c r="C47" s="27">
        <v>1775.86</v>
      </c>
      <c r="D47" s="27">
        <v>1775.86</v>
      </c>
      <c r="E47" s="27">
        <v>667.84</v>
      </c>
      <c r="F47" s="27">
        <v>0</v>
      </c>
      <c r="G47" s="27">
        <v>667.84</v>
      </c>
      <c r="H47" s="27">
        <v>0</v>
      </c>
      <c r="I47" s="27">
        <v>0</v>
      </c>
      <c r="J47" s="27">
        <v>3617.9400000000005</v>
      </c>
      <c r="K47" s="27">
        <v>19178.870000000003</v>
      </c>
      <c r="L47" s="27">
        <v>0</v>
      </c>
      <c r="M47" s="27">
        <v>24956.63</v>
      </c>
      <c r="N47" s="27">
        <v>0</v>
      </c>
      <c r="O47" s="27">
        <v>5706.0199999999995</v>
      </c>
      <c r="P47" s="27">
        <v>0</v>
      </c>
      <c r="Q47" s="27">
        <v>4202.84</v>
      </c>
      <c r="R47" s="27">
        <v>0</v>
      </c>
      <c r="S47" s="27">
        <v>4621.8700000000008</v>
      </c>
      <c r="T47" s="27">
        <v>1678.6999999999998</v>
      </c>
      <c r="U47" s="27">
        <v>0</v>
      </c>
      <c r="V47" s="27">
        <v>63962.869999999995</v>
      </c>
      <c r="W47" s="27">
        <v>66406.570000000007</v>
      </c>
      <c r="X47" s="26">
        <v>18.91</v>
      </c>
      <c r="Y47" s="26">
        <v>35.56</v>
      </c>
      <c r="Z47" s="26">
        <v>56.64</v>
      </c>
      <c r="AA47" s="26">
        <v>16.47</v>
      </c>
      <c r="AB47" s="26">
        <v>43.4</v>
      </c>
      <c r="AC47" s="26">
        <v>170.98</v>
      </c>
      <c r="AD47" s="26">
        <v>1.88</v>
      </c>
      <c r="AE47" s="26">
        <v>1.88</v>
      </c>
      <c r="AF47" s="28">
        <v>172.85999999999999</v>
      </c>
    </row>
  </sheetData>
  <mergeCells count="16">
    <mergeCell ref="J4:V4"/>
    <mergeCell ref="X4:AE4"/>
    <mergeCell ref="C5:D5"/>
    <mergeCell ref="E5:V5"/>
    <mergeCell ref="X5:AC5"/>
    <mergeCell ref="AD5:AE5"/>
    <mergeCell ref="A1:AF1"/>
    <mergeCell ref="A2:A6"/>
    <mergeCell ref="C2:W2"/>
    <mergeCell ref="X2:AF2"/>
    <mergeCell ref="C3:V3"/>
    <mergeCell ref="W3:W6"/>
    <mergeCell ref="X3:AE3"/>
    <mergeCell ref="AF3:AF6"/>
    <mergeCell ref="C4:D4"/>
    <mergeCell ref="E4:G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2026-02-25T08:16:04Z</dcterms:created>
  <dcterms:modified xsi:type="dcterms:W3CDTF">2026-02-25T08:19:20Z</dcterms:modified>
</cp:coreProperties>
</file>